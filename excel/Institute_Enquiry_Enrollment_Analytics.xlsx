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b86bbfc94f5c3458/Desktop/streams/Institute-Enquiry-Enrollment-Analytics-System/excel/"/>
    </mc:Choice>
  </mc:AlternateContent>
  <xr:revisionPtr revIDLastSave="971" documentId="8_{9716C940-9A41-4423-9217-FD54685A5344}" xr6:coauthVersionLast="47" xr6:coauthVersionMax="47" xr10:uidLastSave="{B13843E5-98D4-4480-AE49-B15CD5FBD18B}"/>
  <bookViews>
    <workbookView xWindow="24" yWindow="24" windowWidth="23016" windowHeight="12216" xr2:uid="{1D4088E7-9219-476C-807C-F2B589030099}"/>
  </bookViews>
  <sheets>
    <sheet name="Enquiry_Dashboard" sheetId="6" r:id="rId1"/>
    <sheet name="Enquiry_Analysis" sheetId="3" r:id="rId2"/>
    <sheet name="Enquiry_Data" sheetId="2" r:id="rId3"/>
    <sheet name="Pivot_Analysis" sheetId="4" r:id="rId4"/>
    <sheet name="Conversion_Analysis" sheetId="5" r:id="rId5"/>
  </sheets>
  <definedNames>
    <definedName name="ExternalData_1" localSheetId="2" hidden="1">Enquiry_Data!$A$1:$T$504</definedName>
    <definedName name="Slicer_course_name">#N/A</definedName>
    <definedName name="Slicer_enquiry_status">#N/A</definedName>
    <definedName name="Slicer_Enquiry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 i="6" l="1"/>
  <c r="E4" i="6"/>
  <c r="A4" i="6"/>
  <c r="E5" i="2"/>
  <c r="B3" i="3"/>
  <c r="B12" i="3"/>
  <c r="B11" i="3"/>
  <c r="B10" i="3"/>
  <c r="B9" i="3"/>
  <c r="B8" i="3"/>
  <c r="B7" i="3"/>
  <c r="B6" i="3"/>
  <c r="B4" i="3"/>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E2" i="2"/>
  <c r="E3" i="2"/>
  <c r="E4"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2"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I4" i="6" l="1"/>
  <c r="B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7D2454-A42D-43DD-AE81-61FFDDFC94AC}" keepAlive="1" name="Query - enquiry_analysis_data" description="Connection to the 'enquiry_analysis_data' query in the workbook." type="5" refreshedVersion="8" background="1" saveData="1">
    <dbPr connection="Provider=Microsoft.Mashup.OleDb.1;Data Source=$Workbook$;Location=enquiry_analysis_data;Extended Properties=&quot;&quot;" command="SELECT * FROM [enquiry_analysis_data]"/>
  </connection>
</connections>
</file>

<file path=xl/sharedStrings.xml><?xml version="1.0" encoding="utf-8"?>
<sst xmlns="http://schemas.openxmlformats.org/spreadsheetml/2006/main" count="6735" uniqueCount="975">
  <si>
    <t>enquiry_id</t>
  </si>
  <si>
    <t>enquiry_date</t>
  </si>
  <si>
    <t>student_name</t>
  </si>
  <si>
    <t>email</t>
  </si>
  <si>
    <t>phone</t>
  </si>
  <si>
    <t>city</t>
  </si>
  <si>
    <t>qualification</t>
  </si>
  <si>
    <t>age_group</t>
  </si>
  <si>
    <t>course_id</t>
  </si>
  <si>
    <t>course_name</t>
  </si>
  <si>
    <t>category</t>
  </si>
  <si>
    <t>learning_mode</t>
  </si>
  <si>
    <t>preferred_batch</t>
  </si>
  <si>
    <t>lead_source</t>
  </si>
  <si>
    <t>enquiry_status</t>
  </si>
  <si>
    <t>data_source</t>
  </si>
  <si>
    <t>Sahil Gupta</t>
  </si>
  <si>
    <t>demo.student426.sahilgupta@example.com</t>
  </si>
  <si>
    <t>Noida</t>
  </si>
  <si>
    <t>Graduate</t>
  </si>
  <si>
    <t>18-21</t>
  </si>
  <si>
    <t>CRS001</t>
  </si>
  <si>
    <t>Data Analytics</t>
  </si>
  <si>
    <t>Data &amp; Analytics</t>
  </si>
  <si>
    <t>Online</t>
  </si>
  <si>
    <t>Evening</t>
  </si>
  <si>
    <t>Instagram</t>
  </si>
  <si>
    <t>Contacted</t>
  </si>
  <si>
    <t>Synthetic</t>
  </si>
  <si>
    <t>Rahul Malik</t>
  </si>
  <si>
    <t>demo.student453.rahulmalik@example.com</t>
  </si>
  <si>
    <t>Delhi</t>
  </si>
  <si>
    <t>Post Graduate</t>
  </si>
  <si>
    <t>22-25</t>
  </si>
  <si>
    <t>CRS007</t>
  </si>
  <si>
    <t>Digital Marketing</t>
  </si>
  <si>
    <t>Afternoon</t>
  </si>
  <si>
    <t>Other</t>
  </si>
  <si>
    <t>Rohit Dahiya</t>
  </si>
  <si>
    <t>demo.student172.rohitdahiya@example.com</t>
  </si>
  <si>
    <t>CRS004</t>
  </si>
  <si>
    <t>AI &amp; Machine Learning</t>
  </si>
  <si>
    <t>Offline</t>
  </si>
  <si>
    <t>Weekend</t>
  </si>
  <si>
    <t>LinkedIn</t>
  </si>
  <si>
    <t>Follow-up</t>
  </si>
  <si>
    <t>Riya Yadav</t>
  </si>
  <si>
    <t>demo.student199.riyayadav@example.com</t>
  </si>
  <si>
    <t>Gurugram</t>
  </si>
  <si>
    <t>12th</t>
  </si>
  <si>
    <t>CRS002</t>
  </si>
  <si>
    <t>Data Science</t>
  </si>
  <si>
    <t>Morning</t>
  </si>
  <si>
    <t>Google Search</t>
  </si>
  <si>
    <t>Diya Malik</t>
  </si>
  <si>
    <t>demo.student162.diyamalik@example.com</t>
  </si>
  <si>
    <t>Interested</t>
  </si>
  <si>
    <t>Aditi Chauhan</t>
  </si>
  <si>
    <t>demo.student059.aditichauhan@example.com</t>
  </si>
  <si>
    <t>Ghaziabad</t>
  </si>
  <si>
    <t>CRS005</t>
  </si>
  <si>
    <t>Full Stack Development</t>
  </si>
  <si>
    <t>Web Development</t>
  </si>
  <si>
    <t>Walk-in</t>
  </si>
  <si>
    <t>Prachi Dahiya</t>
  </si>
  <si>
    <t>demo.student497.prachidahiya@example.com</t>
  </si>
  <si>
    <t>Rohtak</t>
  </si>
  <si>
    <t>26-30</t>
  </si>
  <si>
    <t>Converted</t>
  </si>
  <si>
    <t>Manish Mehta</t>
  </si>
  <si>
    <t>demo.student458.manishmehta@example.com</t>
  </si>
  <si>
    <t>Karnal</t>
  </si>
  <si>
    <t>CRS010</t>
  </si>
  <si>
    <t>Tally with GST</t>
  </si>
  <si>
    <t>Accounting</t>
  </si>
  <si>
    <t>Deepak Bansal</t>
  </si>
  <si>
    <t>demo.student072.deepakbansal@example.com</t>
  </si>
  <si>
    <t>Faridabad</t>
  </si>
  <si>
    <t>CRS003</t>
  </si>
  <si>
    <t>Python Programming</t>
  </si>
  <si>
    <t>Programming</t>
  </si>
  <si>
    <t>Nikhil Kumar</t>
  </si>
  <si>
    <t>demo.student007.nikhilkumar@example.com</t>
  </si>
  <si>
    <t>Facebook</t>
  </si>
  <si>
    <t>Riya Gupta</t>
  </si>
  <si>
    <t>demo.student360.riyagupta@example.com</t>
  </si>
  <si>
    <t>Saksham Mehta</t>
  </si>
  <si>
    <t>demo.student040.sakshammehta@example.com</t>
  </si>
  <si>
    <t>Sonipat</t>
  </si>
  <si>
    <t>Kajal Bansal</t>
  </si>
  <si>
    <t>demo.student216.kajalbansal@example.com</t>
  </si>
  <si>
    <t>Rohit Chauhan</t>
  </si>
  <si>
    <t>demo.student280.rohitchauhan@example.com</t>
  </si>
  <si>
    <t>Panipat</t>
  </si>
  <si>
    <t>31+</t>
  </si>
  <si>
    <t>Ananya Bansal</t>
  </si>
  <si>
    <t>demo.student490.ananyabansal@example.com</t>
  </si>
  <si>
    <t>Muskan Saini</t>
  </si>
  <si>
    <t>demo.student194.muskansaini@example.com</t>
  </si>
  <si>
    <t>CRS011</t>
  </si>
  <si>
    <t>Basic Computer Course</t>
  </si>
  <si>
    <t>Computer Basics</t>
  </si>
  <si>
    <t>Isha Malik</t>
  </si>
  <si>
    <t>demo.student284.ishamalik@example.com</t>
  </si>
  <si>
    <t>10th</t>
  </si>
  <si>
    <t>Below 18</t>
  </si>
  <si>
    <t>CRS014</t>
  </si>
  <si>
    <t>Advanced Excel</t>
  </si>
  <si>
    <t>Office &amp; Analytics</t>
  </si>
  <si>
    <t>Sahil Saini</t>
  </si>
  <si>
    <t>demo.student158.sahilsaini@example.com</t>
  </si>
  <si>
    <t>CRS015</t>
  </si>
  <si>
    <t>Trading &amp; Financial Market Basics</t>
  </si>
  <si>
    <t>Finance</t>
  </si>
  <si>
    <t>New</t>
  </si>
  <si>
    <t>Mehak Dahiya</t>
  </si>
  <si>
    <t>demo.student481.mehakdahiya@example.com</t>
  </si>
  <si>
    <t>CRS012</t>
  </si>
  <si>
    <t>DCA</t>
  </si>
  <si>
    <t>Computer Applications</t>
  </si>
  <si>
    <t>Prachi Mehta</t>
  </si>
  <si>
    <t>demo.student326.prachimehta@example.com</t>
  </si>
  <si>
    <t>demo.student441.riyayadav@example.com</t>
  </si>
  <si>
    <t>Bahadurgarh</t>
  </si>
  <si>
    <t>Deepak Jain</t>
  </si>
  <si>
    <t>demo.student438.deepakjain@example.com</t>
  </si>
  <si>
    <t>Manish Verma</t>
  </si>
  <si>
    <t>demo.student378.manishverma@example.com</t>
  </si>
  <si>
    <t>Diploma</t>
  </si>
  <si>
    <t>Nikhil Bansal</t>
  </si>
  <si>
    <t>demo.student066.nikhilbansal@example.com</t>
  </si>
  <si>
    <t>Nisha Dahiya</t>
  </si>
  <si>
    <t>demo.student459.nishadahiya@example.com</t>
  </si>
  <si>
    <t>Arjun Dahiya</t>
  </si>
  <si>
    <t>demo.student180.arjundahiya@example.com</t>
  </si>
  <si>
    <t>demo.student196.arjundahiya@example.com</t>
  </si>
  <si>
    <t>CRS006</t>
  </si>
  <si>
    <t>Web Designing</t>
  </si>
  <si>
    <t>YouTube</t>
  </si>
  <si>
    <t>Karan Singh</t>
  </si>
  <si>
    <t>demo.student309.karansingh@example.com</t>
  </si>
  <si>
    <t>Referral</t>
  </si>
  <si>
    <t>Saksham Gupta</t>
  </si>
  <si>
    <t>demo.student122.sakshamgupta@example.com</t>
  </si>
  <si>
    <t>CRS013</t>
  </si>
  <si>
    <t>Computer Typing</t>
  </si>
  <si>
    <t>Yash Saini</t>
  </si>
  <si>
    <t>demo.student069.yashsaini@example.com</t>
  </si>
  <si>
    <t>Simran Bansal</t>
  </si>
  <si>
    <t>demo.student232.simranbansal@example.com</t>
  </si>
  <si>
    <t>Anjali Sharma</t>
  </si>
  <si>
    <t>demo.student169.anjalisharma@example.com</t>
  </si>
  <si>
    <t>Pooja Khatri</t>
  </si>
  <si>
    <t>demo.student250.poojakhatri@example.com</t>
  </si>
  <si>
    <t>CRS009</t>
  </si>
  <si>
    <t>Video Editing</t>
  </si>
  <si>
    <t>Creative</t>
  </si>
  <si>
    <t>Mohit Saini</t>
  </si>
  <si>
    <t>demo.student266.mohitsaini@example.com</t>
  </si>
  <si>
    <t>Mohit Mehta</t>
  </si>
  <si>
    <t>demo.student115.mohitmehta@example.com</t>
  </si>
  <si>
    <t>Varun Kumar</t>
  </si>
  <si>
    <t>demo.student357.varunkumar@example.com</t>
  </si>
  <si>
    <t>Sahil Bansal</t>
  </si>
  <si>
    <t>demo.student419.sahilbansal@example.com</t>
  </si>
  <si>
    <t>Varun Malik</t>
  </si>
  <si>
    <t>demo.student166.varunmalik@example.com</t>
  </si>
  <si>
    <t>Sonam Khatri</t>
  </si>
  <si>
    <t>demo.student418.sonamkhatri@example.com</t>
  </si>
  <si>
    <t>Muskan Khatri</t>
  </si>
  <si>
    <t>demo.student120.muskankhatri@example.com</t>
  </si>
  <si>
    <t>Gaurav Singh</t>
  </si>
  <si>
    <t>demo.student034.gauravsingh@example.com</t>
  </si>
  <si>
    <t>Nisha Chauhan</t>
  </si>
  <si>
    <t>demo.student025.nishachauhan@example.com</t>
  </si>
  <si>
    <t>Rahul Kumar</t>
  </si>
  <si>
    <t>demo.student399.rahulkumar@example.com</t>
  </si>
  <si>
    <t>demo.student238.diyamalik@example.com</t>
  </si>
  <si>
    <t>Saksham Yadav</t>
  </si>
  <si>
    <t>demo.student462.sakshamyadav@example.com</t>
  </si>
  <si>
    <t>Varun Sharma</t>
  </si>
  <si>
    <t>demo.student400.varunsharma@example.com</t>
  </si>
  <si>
    <t>Sneha Malik</t>
  </si>
  <si>
    <t>demo.student289.snehamalik@example.com</t>
  </si>
  <si>
    <t>Anjali Singh</t>
  </si>
  <si>
    <t>demo.student083.anjalisingh@example.com</t>
  </si>
  <si>
    <t>Riya Singh</t>
  </si>
  <si>
    <t>demo.student285.riyasingh@example.com</t>
  </si>
  <si>
    <t>Deepak Gupta</t>
  </si>
  <si>
    <t>demo.student138.deepakgupta@example.com</t>
  </si>
  <si>
    <t>Neha Kumar</t>
  </si>
  <si>
    <t>demo.student054.nehakumar@example.com</t>
  </si>
  <si>
    <t>Manish Malik</t>
  </si>
  <si>
    <t>demo.student395.manishmalik@example.com</t>
  </si>
  <si>
    <t>Lost</t>
  </si>
  <si>
    <t>Aarav Bansal</t>
  </si>
  <si>
    <t>demo.student411.aaravbansal@example.com</t>
  </si>
  <si>
    <t>Ayush Saini</t>
  </si>
  <si>
    <t>demo.student296.ayushsaini@example.com</t>
  </si>
  <si>
    <t>Akash Sharma</t>
  </si>
  <si>
    <t>demo.student379.akashsharma@example.com</t>
  </si>
  <si>
    <t>Ananya Gupta</t>
  </si>
  <si>
    <t>demo.student080.ananyagupta@example.com</t>
  </si>
  <si>
    <t>Prachi Jain</t>
  </si>
  <si>
    <t>demo.student042.prachijain@example.com</t>
  </si>
  <si>
    <t>Sneha Gupta</t>
  </si>
  <si>
    <t>demo.student141.snehagupta@example.com</t>
  </si>
  <si>
    <t>Neha Sharma</t>
  </si>
  <si>
    <t>demo.student465.nehasharma@example.com</t>
  </si>
  <si>
    <t>Sahil Verma</t>
  </si>
  <si>
    <t>demo.student046.sahilverma@example.com</t>
  </si>
  <si>
    <t>Ananya Singh</t>
  </si>
  <si>
    <t>demo.student073.ananyasingh@example.com</t>
  </si>
  <si>
    <t>Tanya Mehta</t>
  </si>
  <si>
    <t>demo.student325.tanyamehta@example.com</t>
  </si>
  <si>
    <t>Neha Mehta</t>
  </si>
  <si>
    <t>demo.student063.nehamehta@example.com</t>
  </si>
  <si>
    <t>Arjun Chauhan</t>
  </si>
  <si>
    <t>demo.student337.arjunchauhan@example.com</t>
  </si>
  <si>
    <t>Simran Sharma</t>
  </si>
  <si>
    <t>demo.student009.simransharma@example.com</t>
  </si>
  <si>
    <t>Aarav Dahiya</t>
  </si>
  <si>
    <t>demo.student367.aaravdahiya@example.com</t>
  </si>
  <si>
    <t>Ayush Mehta</t>
  </si>
  <si>
    <t>demo.student107.ayushmehta@example.com</t>
  </si>
  <si>
    <t>Aditi Sharma</t>
  </si>
  <si>
    <t>demo.student070.aditisharma@example.com</t>
  </si>
  <si>
    <t>Muskan Jain</t>
  </si>
  <si>
    <t>demo.student409.muskanjain@example.com</t>
  </si>
  <si>
    <t>Rohit Sharma</t>
  </si>
  <si>
    <t>demo.student321.rohitsharma@example.com</t>
  </si>
  <si>
    <t>Shivani Malik</t>
  </si>
  <si>
    <t>demo.student343.shivanimalik@example.com</t>
  </si>
  <si>
    <t>Anjali Gupta</t>
  </si>
  <si>
    <t>demo.student301.anjaligupta@example.com</t>
  </si>
  <si>
    <t>Khushi Khatri</t>
  </si>
  <si>
    <t>demo.student175.khushikhatri@example.com</t>
  </si>
  <si>
    <t>Ananya Sharma</t>
  </si>
  <si>
    <t>demo.student277.ananyasharma@example.com</t>
  </si>
  <si>
    <t>Sneha Sharma</t>
  </si>
  <si>
    <t>demo.student297.snehasharma@example.com</t>
  </si>
  <si>
    <t>Deepak Singh</t>
  </si>
  <si>
    <t>demo.student475.deepaksingh@example.com</t>
  </si>
  <si>
    <t>Diya Gupta</t>
  </si>
  <si>
    <t>demo.student202.diyagupta@example.com</t>
  </si>
  <si>
    <t>CRS008</t>
  </si>
  <si>
    <t>Graphic Designing</t>
  </si>
  <si>
    <t>Akash Yadav</t>
  </si>
  <si>
    <t>demo.student433.akashyadav@example.com</t>
  </si>
  <si>
    <t>Akash Kumar</t>
  </si>
  <si>
    <t>demo.student263.akashkumar@example.com</t>
  </si>
  <si>
    <t>Kajal Verma</t>
  </si>
  <si>
    <t>demo.student190.kajalverma@example.com</t>
  </si>
  <si>
    <t>Saksham Verma</t>
  </si>
  <si>
    <t>demo.student038.sakshamverma@example.com</t>
  </si>
  <si>
    <t>Nisha Saini</t>
  </si>
  <si>
    <t>demo.student012.nishasaini@example.com</t>
  </si>
  <si>
    <t>demo.student094.nishachauhan@example.com</t>
  </si>
  <si>
    <t>Karan Sharma</t>
  </si>
  <si>
    <t>demo.student149.karansharma@example.com</t>
  </si>
  <si>
    <t>demo.student078.sakshamyadav@example.com</t>
  </si>
  <si>
    <t>Nikhil Yadav</t>
  </si>
  <si>
    <t>demo.student470.nikhilyadav@example.com</t>
  </si>
  <si>
    <t>Ayush Yadav</t>
  </si>
  <si>
    <t>demo.student278.ayushyadav@example.com</t>
  </si>
  <si>
    <t>Diya Sharma</t>
  </si>
  <si>
    <t>demo.student156.diyasharma@example.com</t>
  </si>
  <si>
    <t>Nikhil Malik</t>
  </si>
  <si>
    <t>demo.student136.nikhilmalik@example.com</t>
  </si>
  <si>
    <t>Deepak Dahiya</t>
  </si>
  <si>
    <t>demo.student132.deepakdahiya@example.com</t>
  </si>
  <si>
    <t>Muskan Kumar</t>
  </si>
  <si>
    <t>demo.student160.muskankumar@example.com</t>
  </si>
  <si>
    <t>Arjun Gupta</t>
  </si>
  <si>
    <t>demo.student304.arjungupta@example.com</t>
  </si>
  <si>
    <t>Tanya Chauhan</t>
  </si>
  <si>
    <t>demo.student335.tanyachauhan@example.com</t>
  </si>
  <si>
    <t>Nikhil Khatri</t>
  </si>
  <si>
    <t>demo.student482.nikhilkhatri@example.com</t>
  </si>
  <si>
    <t>Sahil Mehta</t>
  </si>
  <si>
    <t>demo.student223.sahilmehta@example.com</t>
  </si>
  <si>
    <t>Karan Yadav</t>
  </si>
  <si>
    <t>demo.student361.karanyadav@example.com</t>
  </si>
  <si>
    <t>Simran Mehta</t>
  </si>
  <si>
    <t>demo.student020.simranmehta@example.com</t>
  </si>
  <si>
    <t>Deepak Sharma</t>
  </si>
  <si>
    <t>demo.student267.deepaksharma@example.com</t>
  </si>
  <si>
    <t>Anjali Mehta</t>
  </si>
  <si>
    <t>demo.student456.anjalimehta@example.com</t>
  </si>
  <si>
    <t>Yash Mehta</t>
  </si>
  <si>
    <t>demo.student221.yashmehta@example.com</t>
  </si>
  <si>
    <t>Prachi Kumar</t>
  </si>
  <si>
    <t>demo.student279.prachikumar@example.com</t>
  </si>
  <si>
    <t>demo.student248.nikhilbansal@example.com</t>
  </si>
  <si>
    <t>Sahil Chauhan</t>
  </si>
  <si>
    <t>demo.student388.sahilchauhan@example.com</t>
  </si>
  <si>
    <t>Rahul Chauhan</t>
  </si>
  <si>
    <t>demo.student413.rahulchauhan@example.com</t>
  </si>
  <si>
    <t>Pooja Sharma</t>
  </si>
  <si>
    <t>demo.student026.poojasharma@example.com</t>
  </si>
  <si>
    <t>Gaurav Khatri</t>
  </si>
  <si>
    <t>demo.student386.gauravkhatri@example.com</t>
  </si>
  <si>
    <t>demo.student430.muskanjain@example.com</t>
  </si>
  <si>
    <t>demo.student476.gauravkhatri@example.com</t>
  </si>
  <si>
    <t>Tanya Bansal</t>
  </si>
  <si>
    <t>demo.student382.tanyabansal@example.com</t>
  </si>
  <si>
    <t>Mehak Malik</t>
  </si>
  <si>
    <t>demo.student173.mehakmalik@example.com</t>
  </si>
  <si>
    <t>demo.student139.nishasaini@example.com</t>
  </si>
  <si>
    <t>Muskan Singh</t>
  </si>
  <si>
    <t>demo.student406.muskansingh@example.com</t>
  </si>
  <si>
    <t>demo.student118.snehagupta@example.com</t>
  </si>
  <si>
    <t>Kajal Singh</t>
  </si>
  <si>
    <t>demo.student293.kajalsingh@example.com</t>
  </si>
  <si>
    <t>demo.student105.nikhilkhatri@example.com</t>
  </si>
  <si>
    <t>Akash Jain</t>
  </si>
  <si>
    <t>demo.student142.akashjain@example.com</t>
  </si>
  <si>
    <t>Diya Khatri</t>
  </si>
  <si>
    <t>demo.student461.diyakhatri@example.com</t>
  </si>
  <si>
    <t>Tanya Dahiya</t>
  </si>
  <si>
    <t>demo.student106.tanyadahiya@example.com</t>
  </si>
  <si>
    <t>Rohit Yadav</t>
  </si>
  <si>
    <t>demo.student206.rohityadav@example.com</t>
  </si>
  <si>
    <t>Akash Gupta</t>
  </si>
  <si>
    <t>demo.student467.akashgupta@example.com</t>
  </si>
  <si>
    <t>Saksham Singh</t>
  </si>
  <si>
    <t>demo.student286.sakshamsingh@example.com</t>
  </si>
  <si>
    <t>Pooja Dahiya</t>
  </si>
  <si>
    <t>demo.student013.poojadahiya@example.com</t>
  </si>
  <si>
    <t>Prachi Gupta</t>
  </si>
  <si>
    <t>demo.student213.prachigupta@example.com</t>
  </si>
  <si>
    <t>Manish Gupta</t>
  </si>
  <si>
    <t>demo.student152.manishgupta@example.com</t>
  </si>
  <si>
    <t>demo.student262.deepakdahiya@example.com</t>
  </si>
  <si>
    <t>Deepak Malik</t>
  </si>
  <si>
    <t>demo.student383.deepakmalik@example.com</t>
  </si>
  <si>
    <t>demo.student068.sahilgupta@example.com</t>
  </si>
  <si>
    <t>Rahul Saini</t>
  </si>
  <si>
    <t>demo.student437.rahulsaini@example.com</t>
  </si>
  <si>
    <t>Shivani Khatri</t>
  </si>
  <si>
    <t>demo.student028.shivanikhatri@example.com</t>
  </si>
  <si>
    <t>Gaurav Chauhan</t>
  </si>
  <si>
    <t>demo.student108.gauravchauhan@example.com</t>
  </si>
  <si>
    <t>demo.student265.deepaksharma@example.com</t>
  </si>
  <si>
    <t>Mehak Sharma</t>
  </si>
  <si>
    <t>demo.student155.mehaksharma@example.com</t>
  </si>
  <si>
    <t>demo.student290.akashgupta@example.com</t>
  </si>
  <si>
    <t>Sonam Malik</t>
  </si>
  <si>
    <t>demo.student478.sonammalik@example.com</t>
  </si>
  <si>
    <t>Neha Verma</t>
  </si>
  <si>
    <t>demo.student031.nehaverma@example.com</t>
  </si>
  <si>
    <t>Yash Jain</t>
  </si>
  <si>
    <t>demo.student291.yashjain@example.com</t>
  </si>
  <si>
    <t>demo.student185.sahilgupta@example.com</t>
  </si>
  <si>
    <t>Gaurav Mehta</t>
  </si>
  <si>
    <t>demo.student258.gauravmehta@example.com</t>
  </si>
  <si>
    <t>demo.student056.mehakmalik@example.com</t>
  </si>
  <si>
    <t>Yash Khatri</t>
  </si>
  <si>
    <t>demo.student440.yashkhatri@example.com</t>
  </si>
  <si>
    <t>Pooja Yadav</t>
  </si>
  <si>
    <t>demo.student370.poojayadav@example.com</t>
  </si>
  <si>
    <t>Aarav Gupta</t>
  </si>
  <si>
    <t>demo.student163.aaravgupta@example.com</t>
  </si>
  <si>
    <t>demo.student351.manishmehta@example.com</t>
  </si>
  <si>
    <t>demo.student247.anjaligupta@example.com</t>
  </si>
  <si>
    <t>Khushi Gupta</t>
  </si>
  <si>
    <t>demo.student036.khushigupta@example.com</t>
  </si>
  <si>
    <t>demo.student178.riyasingh@example.com</t>
  </si>
  <si>
    <t>demo.student027.aaravdahiya@example.com</t>
  </si>
  <si>
    <t>Neha Yadav</t>
  </si>
  <si>
    <t>demo.student055.nehayadav@example.com</t>
  </si>
  <si>
    <t>Aarav Sharma</t>
  </si>
  <si>
    <t>demo.student252.aaravsharma@example.com</t>
  </si>
  <si>
    <t>Arjun Khatri</t>
  </si>
  <si>
    <t>demo.student198.arjunkhatri@example.com</t>
  </si>
  <si>
    <t>Diya Kumar</t>
  </si>
  <si>
    <t>demo.student230.diyakumar@example.com</t>
  </si>
  <si>
    <t>demo.student241.diyakumar@example.com</t>
  </si>
  <si>
    <t>Khushi Kumar</t>
  </si>
  <si>
    <t>demo.student282.khushikumar@example.com</t>
  </si>
  <si>
    <t>Tanya Gupta</t>
  </si>
  <si>
    <t>demo.student471.tanyagupta@example.com</t>
  </si>
  <si>
    <t>demo.student466.khushikumar@example.com</t>
  </si>
  <si>
    <t>Varun Dahiya</t>
  </si>
  <si>
    <t>demo.student249.varundahiya@example.com</t>
  </si>
  <si>
    <t>Simran Dahiya</t>
  </si>
  <si>
    <t>demo.student183.simrandahiya@example.com</t>
  </si>
  <si>
    <t>Varun Jain</t>
  </si>
  <si>
    <t>demo.student126.varunjain@example.com</t>
  </si>
  <si>
    <t>Nikhil Chauhan</t>
  </si>
  <si>
    <t>demo.student226.nikhilchauhan@example.com</t>
  </si>
  <si>
    <t>Mohit Bansal</t>
  </si>
  <si>
    <t>demo.student328.mohitbansal@example.com</t>
  </si>
  <si>
    <t>Rahul Verma</t>
  </si>
  <si>
    <t>demo.student064.rahulverma@example.com</t>
  </si>
  <si>
    <t>demo.student298.mehaksharma@example.com</t>
  </si>
  <si>
    <t>Kajal Mehta</t>
  </si>
  <si>
    <t>demo.student024.kajalmehta@example.com</t>
  </si>
  <si>
    <t>Nisha Bansal</t>
  </si>
  <si>
    <t>demo.student316.nishabansal@example.com</t>
  </si>
  <si>
    <t>Nikhil Singh</t>
  </si>
  <si>
    <t>demo.student235.nikhilsingh@example.com</t>
  </si>
  <si>
    <t>Kajal Yadav</t>
  </si>
  <si>
    <t>demo.student268.kajalyadav@example.com</t>
  </si>
  <si>
    <t>Yash Yadav</t>
  </si>
  <si>
    <t>demo.student442.yashyadav@example.com</t>
  </si>
  <si>
    <t>Sneha Dahiya</t>
  </si>
  <si>
    <t>demo.student041.snehadahiya@example.com</t>
  </si>
  <si>
    <t>demo.student037.nehasharma@example.com</t>
  </si>
  <si>
    <t>Aditi Saini</t>
  </si>
  <si>
    <t>demo.student385.aditisaini@example.com</t>
  </si>
  <si>
    <t>demo.student128.prachimehta@example.com</t>
  </si>
  <si>
    <t>Nisha Jain</t>
  </si>
  <si>
    <t>demo.student076.nishajain@example.com</t>
  </si>
  <si>
    <t>Nikhil Mehta</t>
  </si>
  <si>
    <t>demo.student164.nikhilmehta@example.com</t>
  </si>
  <si>
    <t>Kajal Chauhan</t>
  </si>
  <si>
    <t>demo.student219.kajalchauhan@example.com</t>
  </si>
  <si>
    <t>demo.student003.nishabansal@example.com</t>
  </si>
  <si>
    <t>Neha Malik</t>
  </si>
  <si>
    <t>demo.student039.nehamalik@example.com</t>
  </si>
  <si>
    <t>Prachi Panchal</t>
  </si>
  <si>
    <t>demo.student463.prachipanchal@example.com</t>
  </si>
  <si>
    <t>demo.student373.snehamalik@example.com</t>
  </si>
  <si>
    <t>Aditi Singh</t>
  </si>
  <si>
    <t>demo.student082.aditisingh@example.com</t>
  </si>
  <si>
    <t>Diya Panchal</t>
  </si>
  <si>
    <t>demo.student130.diyapanchal@example.com</t>
  </si>
  <si>
    <t>Saksham Dahiya</t>
  </si>
  <si>
    <t>demo.student425.sakshamdahiya@example.com</t>
  </si>
  <si>
    <t>Yash Panchal</t>
  </si>
  <si>
    <t>demo.student246.yashpanchal@example.com</t>
  </si>
  <si>
    <t>Saksham Sharma</t>
  </si>
  <si>
    <t>demo.student089.sakshamsharma@example.com</t>
  </si>
  <si>
    <t>demo.student454.aaravgupta@example.com</t>
  </si>
  <si>
    <t>Sneha Yadav</t>
  </si>
  <si>
    <t>demo.student205.snehayadav@example.com</t>
  </si>
  <si>
    <t>Pooja Mehta</t>
  </si>
  <si>
    <t>demo.student281.poojamehta@example.com</t>
  </si>
  <si>
    <t>Akash Malik</t>
  </si>
  <si>
    <t>demo.student043.akashmalik@example.com</t>
  </si>
  <si>
    <t>Isha Panchal</t>
  </si>
  <si>
    <t>demo.student355.ishapanchal@example.com</t>
  </si>
  <si>
    <t>demo.student029.prachijain@example.com</t>
  </si>
  <si>
    <t>demo.student215.mehakdahiya@example.com</t>
  </si>
  <si>
    <t>Manish Sharma</t>
  </si>
  <si>
    <t>demo.student276.manishsharma@example.com</t>
  </si>
  <si>
    <t>Ananya Chauhan</t>
  </si>
  <si>
    <t>demo.student339.ananyachauhan@example.com</t>
  </si>
  <si>
    <t>Sonam Sharma</t>
  </si>
  <si>
    <t>demo.student051.sonamsharma@example.com</t>
  </si>
  <si>
    <t>Khushi Malik</t>
  </si>
  <si>
    <t>demo.student181.khushimalik@example.com</t>
  </si>
  <si>
    <t>Nisha Khatri</t>
  </si>
  <si>
    <t>demo.student498.nishakhatri@example.com</t>
  </si>
  <si>
    <t>demo.student457.arjunkhatri@example.com</t>
  </si>
  <si>
    <t>Nikhil Panchal</t>
  </si>
  <si>
    <t>demo.student159.nikhilpanchal@example.com</t>
  </si>
  <si>
    <t>demo.student308.nikhilbansal@example.com</t>
  </si>
  <si>
    <t>Ayush Khatri</t>
  </si>
  <si>
    <t>demo.student340.ayushkhatri@example.com</t>
  </si>
  <si>
    <t>demo.student330.muskansaini@example.com</t>
  </si>
  <si>
    <t>Gaurav Sharma</t>
  </si>
  <si>
    <t>demo.student097.gauravsharma@example.com</t>
  </si>
  <si>
    <t>Riya Saini</t>
  </si>
  <si>
    <t>demo.student153.riyasaini@example.com</t>
  </si>
  <si>
    <t>demo.student137.nishachauhan@example.com</t>
  </si>
  <si>
    <t>Saksham Bansal</t>
  </si>
  <si>
    <t>demo.student334.sakshambansal@example.com</t>
  </si>
  <si>
    <t>demo.student092.varundahiya@example.com</t>
  </si>
  <si>
    <t>Mohit Yadav</t>
  </si>
  <si>
    <t>demo.student417.mohityadav@example.com</t>
  </si>
  <si>
    <t>Gaurav Gupta</t>
  </si>
  <si>
    <t>demo.student113.gauravgupta@example.com</t>
  </si>
  <si>
    <t>Ananya Khatri</t>
  </si>
  <si>
    <t>demo.student272.ananyakhatri@example.com</t>
  </si>
  <si>
    <t>Shivani Singh</t>
  </si>
  <si>
    <t>demo.student332.shivanisingh@example.com</t>
  </si>
  <si>
    <t>Ananya Kumar</t>
  </si>
  <si>
    <t>demo.student302.ananyakumar@example.com</t>
  </si>
  <si>
    <t>Simran Jain</t>
  </si>
  <si>
    <t>demo.student044.simranjain@example.com</t>
  </si>
  <si>
    <t>Shivani Dahiya</t>
  </si>
  <si>
    <t>demo.student098.shivanidahiya@example.com</t>
  </si>
  <si>
    <t>Isha Mehta</t>
  </si>
  <si>
    <t>demo.student104.ishamehta@example.com</t>
  </si>
  <si>
    <t>demo.student061.nikhilkhatri@example.com</t>
  </si>
  <si>
    <t>demo.student062.karansingh@example.com</t>
  </si>
  <si>
    <t>Muskan Malik</t>
  </si>
  <si>
    <t>demo.student412.muskanmalik@example.com</t>
  </si>
  <si>
    <t>Ananya Malik</t>
  </si>
  <si>
    <t>demo.student251.ananyamalik@example.com</t>
  </si>
  <si>
    <t>Akash Verma</t>
  </si>
  <si>
    <t>demo.student492.akashverma@example.com</t>
  </si>
  <si>
    <t>Nikhil Jain</t>
  </si>
  <si>
    <t>demo.student313.nikhiljain@example.com</t>
  </si>
  <si>
    <t>demo.student109.rahulkumar@example.com</t>
  </si>
  <si>
    <t>demo.student021.aditisaini@example.com</t>
  </si>
  <si>
    <t>Aarav Yadav</t>
  </si>
  <si>
    <t>demo.student257.aaravyadav@example.com</t>
  </si>
  <si>
    <t>Simran Panchal</t>
  </si>
  <si>
    <t>demo.student387.simranpanchal@example.com</t>
  </si>
  <si>
    <t>Ananya Dahiya</t>
  </si>
  <si>
    <t>demo.student336.ananyadahiya@example.com</t>
  </si>
  <si>
    <t>Isha Saini</t>
  </si>
  <si>
    <t>demo.student283.ishasaini@example.com</t>
  </si>
  <si>
    <t>Aarav Jain</t>
  </si>
  <si>
    <t>demo.student204.aaravjain@example.com</t>
  </si>
  <si>
    <t>Ananya Mehta</t>
  </si>
  <si>
    <t>demo.student323.ananyamehta@example.com</t>
  </si>
  <si>
    <t>Rohit Khatri</t>
  </si>
  <si>
    <t>demo.student480.rohitkhatri@example.com</t>
  </si>
  <si>
    <t>Manish Khatri</t>
  </si>
  <si>
    <t>demo.student390.manishkhatri@example.com</t>
  </si>
  <si>
    <t>Karan Saini</t>
  </si>
  <si>
    <t>demo.student434.karansaini@example.com</t>
  </si>
  <si>
    <t>Rohit Bansal</t>
  </si>
  <si>
    <t>demo.student472.rohitbansal@example.com</t>
  </si>
  <si>
    <t>Saksham Saini</t>
  </si>
  <si>
    <t>demo.student119.sakshamsaini@example.com</t>
  </si>
  <si>
    <t>Neha Gupta</t>
  </si>
  <si>
    <t>demo.student310.nehagupta@example.com</t>
  </si>
  <si>
    <t>Prachi Saini</t>
  </si>
  <si>
    <t>demo.student271.prachisaini@example.com</t>
  </si>
  <si>
    <t>Sahil Jain</t>
  </si>
  <si>
    <t>demo.student179.sahiljain@example.com</t>
  </si>
  <si>
    <t>Ayush Dahiya</t>
  </si>
  <si>
    <t>demo.student259.ayushdahiya@example.com</t>
  </si>
  <si>
    <t>demo.student376.diyamalik@example.com</t>
  </si>
  <si>
    <t>Kajal Kumar</t>
  </si>
  <si>
    <t>demo.student254.kajalkumar@example.com</t>
  </si>
  <si>
    <t>demo.student317.diyapanchal@example.com</t>
  </si>
  <si>
    <t>Manish Panchal</t>
  </si>
  <si>
    <t>demo.student401.manishpanchal@example.com</t>
  </si>
  <si>
    <t>Mohit Chauhan</t>
  </si>
  <si>
    <t>demo.student264.mohitchauhan@example.com</t>
  </si>
  <si>
    <t>demo.student161.karansingh@example.com</t>
  </si>
  <si>
    <t>Karan Malik</t>
  </si>
  <si>
    <t>demo.student300.karanmalik@example.com</t>
  </si>
  <si>
    <t>Saksham Malik</t>
  </si>
  <si>
    <t>demo.student200.sakshammalik@example.com</t>
  </si>
  <si>
    <t>demo.student189.sonamsharma@example.com</t>
  </si>
  <si>
    <t>Khushi Jain</t>
  </si>
  <si>
    <t>demo.student077.khushijain@example.com</t>
  </si>
  <si>
    <t>demo.student184.nishasaini@example.com</t>
  </si>
  <si>
    <t>demo.student014.nikhilkhatri@example.com</t>
  </si>
  <si>
    <t>Anjali Dahiya</t>
  </si>
  <si>
    <t>demo.student023.anjalidahiya@example.com</t>
  </si>
  <si>
    <t>Mehak Gupta</t>
  </si>
  <si>
    <t>demo.student208.mehakgupta@example.com</t>
  </si>
  <si>
    <t>demo.student428.rahulkumar@example.com</t>
  </si>
  <si>
    <t>Karan Khatri</t>
  </si>
  <si>
    <t>demo.student479.karankhatri@example.com</t>
  </si>
  <si>
    <t>Aditi Verma</t>
  </si>
  <si>
    <t>demo.student234.aditiverma@example.com</t>
  </si>
  <si>
    <t>Neha Bansal</t>
  </si>
  <si>
    <t>demo.student057.nehabansal@example.com</t>
  </si>
  <si>
    <t>demo.student423.nikhilkumar@example.com</t>
  </si>
  <si>
    <t>demo.student075.sakshambansal@example.com</t>
  </si>
  <si>
    <t>Muskan Panchal</t>
  </si>
  <si>
    <t>demo.student420.muskanpanchal@example.com</t>
  </si>
  <si>
    <t>Tanya Jain</t>
  </si>
  <si>
    <t>demo.student010.tanyajain@example.com</t>
  </si>
  <si>
    <t>Aditi Kumar</t>
  </si>
  <si>
    <t>demo.student303.aditikumar@example.com</t>
  </si>
  <si>
    <t>demo.student487.sahilgupta@example.com</t>
  </si>
  <si>
    <t>demo.student473.sakshamgupta@example.com</t>
  </si>
  <si>
    <t>Nisha Sharma</t>
  </si>
  <si>
    <t>demo.student197.nishasharma@example.com</t>
  </si>
  <si>
    <t>demo.student095.prachidahiya@example.com</t>
  </si>
  <si>
    <t>Karan Verma</t>
  </si>
  <si>
    <t>demo.student127.karanverma@example.com</t>
  </si>
  <si>
    <t>Neha Chauhan</t>
  </si>
  <si>
    <t>demo.student443.nehachauhan@example.com</t>
  </si>
  <si>
    <t>demo.student017.ananyagupta@example.com</t>
  </si>
  <si>
    <t>demo.student140.aditiverma@example.com</t>
  </si>
  <si>
    <t>demo.student315.diyakumar@example.com</t>
  </si>
  <si>
    <t>Yash Verma</t>
  </si>
  <si>
    <t>demo.student469.yashverma@example.com</t>
  </si>
  <si>
    <t>Mehak Khatri</t>
  </si>
  <si>
    <t>demo.student403.mehakkhatri@example.com</t>
  </si>
  <si>
    <t>Aditi Yadav</t>
  </si>
  <si>
    <t>demo.student090.aditiyadav@example.com</t>
  </si>
  <si>
    <t>Mehak Mehta</t>
  </si>
  <si>
    <t>demo.student435.mehakmehta@example.com</t>
  </si>
  <si>
    <t>demo.student369.ananyachauhan@example.com</t>
  </si>
  <si>
    <t>Sahil Malik</t>
  </si>
  <si>
    <t>demo.student168.sahilmalik@example.com</t>
  </si>
  <si>
    <t>Diya Yadav</t>
  </si>
  <si>
    <t>demo.student131.diyayadav@example.com</t>
  </si>
  <si>
    <t>Rahul Jain</t>
  </si>
  <si>
    <t>demo.student165.rahuljain@example.com</t>
  </si>
  <si>
    <t>Rahul Dahiya</t>
  </si>
  <si>
    <t>demo.student244.rahuldahiya@example.com</t>
  </si>
  <si>
    <t>demo.student477.aditiyadav@example.com</t>
  </si>
  <si>
    <t>Aarav Mehta</t>
  </si>
  <si>
    <t>demo.student427.aaravmehta@example.com</t>
  </si>
  <si>
    <t>Pooja Singh</t>
  </si>
  <si>
    <t>demo.student033.poojasingh@example.com</t>
  </si>
  <si>
    <t>demo.student269.nehamalik@example.com</t>
  </si>
  <si>
    <t>Aarav Khatri</t>
  </si>
  <si>
    <t>demo.student408.aaravkhatri@example.com</t>
  </si>
  <si>
    <t>demo.student047.tanyamehta@example.com</t>
  </si>
  <si>
    <t>Tanya Singh</t>
  </si>
  <si>
    <t>demo.student212.tanyasingh@example.com</t>
  </si>
  <si>
    <t>demo.student058.nikhilkumar@example.com</t>
  </si>
  <si>
    <t>Sneha Singh</t>
  </si>
  <si>
    <t>demo.student394.snehasingh@example.com</t>
  </si>
  <si>
    <t>Sonam Chauhan</t>
  </si>
  <si>
    <t>demo.student049.sonamchauhan@example.com</t>
  </si>
  <si>
    <t>demo.student222.ananyachauhan@example.com</t>
  </si>
  <si>
    <t>demo.student085.arjungupta@example.com</t>
  </si>
  <si>
    <t>demo.student102.kajalkumar@example.com</t>
  </si>
  <si>
    <t>demo.student415.varundahiya@example.com</t>
  </si>
  <si>
    <t>demo.student146.poojadahiya@example.com</t>
  </si>
  <si>
    <t>Ananya Jain</t>
  </si>
  <si>
    <t>demo.student287.ananyajain@example.com</t>
  </si>
  <si>
    <t>Aarav Saini</t>
  </si>
  <si>
    <t>demo.student447.aaravsaini@example.com</t>
  </si>
  <si>
    <t>Karan Chauhan</t>
  </si>
  <si>
    <t>demo.student275.karanchauhan@example.com</t>
  </si>
  <si>
    <t>Aarav Kumar</t>
  </si>
  <si>
    <t>demo.student432.aaravkumar@example.com</t>
  </si>
  <si>
    <t>demo.student129.karankhatri@example.com</t>
  </si>
  <si>
    <t>Mohit Sharma</t>
  </si>
  <si>
    <t>demo.student488.mohitsharma@example.com</t>
  </si>
  <si>
    <t>demo.student114.anjalidahiya@example.com</t>
  </si>
  <si>
    <t>Rahul Khatri</t>
  </si>
  <si>
    <t>demo.student144.rahulkhatri@example.com</t>
  </si>
  <si>
    <t>demo.student220.deepaksingh@example.com</t>
  </si>
  <si>
    <t>demo.student368.khushijain@example.com</t>
  </si>
  <si>
    <t>demo.student354.anjalisingh@example.com</t>
  </si>
  <si>
    <t>Neha Panchal</t>
  </si>
  <si>
    <t>demo.student229.nehapanchal@example.com</t>
  </si>
  <si>
    <t>demo.student145.snehadahiya@example.com</t>
  </si>
  <si>
    <t>demo.student002.mohitsharma@example.com</t>
  </si>
  <si>
    <t>demo.student324.nikhiljain@example.com</t>
  </si>
  <si>
    <t>demo.student176.mehakgupta@example.com</t>
  </si>
  <si>
    <t>demo.student445.sahilbansal@example.com</t>
  </si>
  <si>
    <t>Tanya Khatri</t>
  </si>
  <si>
    <t>demo.student103.tanyakhatri@example.com</t>
  </si>
  <si>
    <t>Deepak Mehta</t>
  </si>
  <si>
    <t>demo.student493.deepakmehta@example.com</t>
  </si>
  <si>
    <t>demo.student218.deepakgupta@example.com</t>
  </si>
  <si>
    <t>Pooja Panchal</t>
  </si>
  <si>
    <t>demo.student193.poojapanchal@example.com</t>
  </si>
  <si>
    <t>demo.student243.mehakmalik@example.com</t>
  </si>
  <si>
    <t>Rahul Sharma</t>
  </si>
  <si>
    <t>demo.student318.rahulsharma@example.com</t>
  </si>
  <si>
    <t>Varun Verma</t>
  </si>
  <si>
    <t>demo.student449.varunverma@example.com</t>
  </si>
  <si>
    <t>demo.student228.khushikhatri@example.com</t>
  </si>
  <si>
    <t>demo.student053.arjunchauhan@example.com</t>
  </si>
  <si>
    <t>demo.student451.rohitdahiya@example.com</t>
  </si>
  <si>
    <t>demo.student322.riyasaini@example.com</t>
  </si>
  <si>
    <t>demo.student431.karanyadav@example.com</t>
  </si>
  <si>
    <t>demo.student393.sakshambansal@example.com</t>
  </si>
  <si>
    <t>demo.student154.mohitmehta@example.com</t>
  </si>
  <si>
    <t>Mehak Yadav</t>
  </si>
  <si>
    <t>demo.student444.mehakyadav@example.com</t>
  </si>
  <si>
    <t>Riya Verma</t>
  </si>
  <si>
    <t>demo.student171.riyaverma@example.com</t>
  </si>
  <si>
    <t>demo.student424.nishachauhan@example.com</t>
  </si>
  <si>
    <t>Khushi Saini</t>
  </si>
  <si>
    <t>demo.student375.khushisaini@example.com</t>
  </si>
  <si>
    <t>Aditi Gupta</t>
  </si>
  <si>
    <t>demo.student111.aditigupta@example.com</t>
  </si>
  <si>
    <t>Sahil Khatri</t>
  </si>
  <si>
    <t>demo.student352.sahilkhatri@example.com</t>
  </si>
  <si>
    <t>demo.student192.akashverma@example.com</t>
  </si>
  <si>
    <t>Mohit Kumar</t>
  </si>
  <si>
    <t>demo.student211.mohitkumar@example.com</t>
  </si>
  <si>
    <t>Diya Mehta</t>
  </si>
  <si>
    <t>demo.student312.diyamehta@example.com</t>
  </si>
  <si>
    <t>Diya Dahiya</t>
  </si>
  <si>
    <t>demo.student079.diyadahiya@example.com</t>
  </si>
  <si>
    <t>demo.student255.simransharma@example.com</t>
  </si>
  <si>
    <t>Rohit Saini</t>
  </si>
  <si>
    <t>demo.student195.rohitsaini@example.com</t>
  </si>
  <si>
    <t>Arjun Yadav</t>
  </si>
  <si>
    <t>demo.student191.arjunyadav@example.com</t>
  </si>
  <si>
    <t>Akash Khatri</t>
  </si>
  <si>
    <t>demo.student486.akashkhatri@example.com</t>
  </si>
  <si>
    <t>Yash Gupta</t>
  </si>
  <si>
    <t>demo.student224.yashgupta@example.com</t>
  </si>
  <si>
    <t>demo.student233.nehayadav@example.com</t>
  </si>
  <si>
    <t>Ayush Malik</t>
  </si>
  <si>
    <t>demo.student446.ayushmalik@example.com</t>
  </si>
  <si>
    <t>demo.student460.gauravsingh@example.com</t>
  </si>
  <si>
    <t>Isha Singh</t>
  </si>
  <si>
    <t>demo.student384.ishasingh@example.com</t>
  </si>
  <si>
    <t>demo.student327.aaravbansal@example.com</t>
  </si>
  <si>
    <t>demo.student450.sahilmehta@example.com</t>
  </si>
  <si>
    <t>Nikhil Gupta</t>
  </si>
  <si>
    <t>demo.student005.nikhilgupta@example.com</t>
  </si>
  <si>
    <t>Prachi Singh</t>
  </si>
  <si>
    <t>demo.student455.prachisingh@example.com</t>
  </si>
  <si>
    <t>Shivani Verma</t>
  </si>
  <si>
    <t>demo.student167.shivaniverma@example.com</t>
  </si>
  <si>
    <t>demo.student371.poojapanchal@example.com</t>
  </si>
  <si>
    <t>Anjali Kumar</t>
  </si>
  <si>
    <t>demo.student261.anjalikumar@example.com</t>
  </si>
  <si>
    <t>Shivani Saini</t>
  </si>
  <si>
    <t>demo.student035.shivanisaini@example.com</t>
  </si>
  <si>
    <t>demo.student319.nikhilsingh@example.com</t>
  </si>
  <si>
    <t>demo.student071.poojakhatri@example.com</t>
  </si>
  <si>
    <t>demo.student084.nikhilmehta@example.com</t>
  </si>
  <si>
    <t>Manish Saini</t>
  </si>
  <si>
    <t>demo.student391.manishsaini@example.com</t>
  </si>
  <si>
    <t>demo.student489.simranjain@example.com</t>
  </si>
  <si>
    <t>demo.student396.arjunchauhan@example.com</t>
  </si>
  <si>
    <t>demo.student121.nishabansal@example.com</t>
  </si>
  <si>
    <t>Prachi Malik</t>
  </si>
  <si>
    <t>demo.student381.prachimalik@example.com</t>
  </si>
  <si>
    <t>demo.student124.rahuljain@example.com</t>
  </si>
  <si>
    <t>demo.student134.gauravsingh@example.com</t>
  </si>
  <si>
    <t>Gaurav Verma</t>
  </si>
  <si>
    <t>demo.student239.gauravverma@example.com</t>
  </si>
  <si>
    <t>Muskan Chauhan</t>
  </si>
  <si>
    <t>demo.student143.muskanchauhan@example.com</t>
  </si>
  <si>
    <t>demo.student448.rahulkhatri@example.com</t>
  </si>
  <si>
    <t>Manish Kumar</t>
  </si>
  <si>
    <t>demo.student407.manishkumar@example.com</t>
  </si>
  <si>
    <t>Mehak Singh</t>
  </si>
  <si>
    <t>demo.student439.mehaksingh@example.com</t>
  </si>
  <si>
    <t>Aarav Chauhan</t>
  </si>
  <si>
    <t>demo.student338.aaravchauhan@example.com</t>
  </si>
  <si>
    <t>Ayush Bansal</t>
  </si>
  <si>
    <t>demo.student065.ayushbansal@example.com</t>
  </si>
  <si>
    <t>Mehak Saini</t>
  </si>
  <si>
    <t>demo.student359.mehaksaini@example.com</t>
  </si>
  <si>
    <t>demo.student019.aditikumar@example.com</t>
  </si>
  <si>
    <t>demo.student112.ananyakumar@example.com</t>
  </si>
  <si>
    <t>Simran Gupta</t>
  </si>
  <si>
    <t>demo.student307.simrangupta@example.com</t>
  </si>
  <si>
    <t>Rahul Gupta</t>
  </si>
  <si>
    <t>demo.student203.rahulgupta@example.com</t>
  </si>
  <si>
    <t>Yash Kumar</t>
  </si>
  <si>
    <t>demo.student374.yashkumar@example.com</t>
  </si>
  <si>
    <t>demo.student011.muskankhatri@example.com</t>
  </si>
  <si>
    <t>demo.student245.ananyakhatri@example.com</t>
  </si>
  <si>
    <t>demo.student416.ananyakumar@example.com</t>
  </si>
  <si>
    <t>Deepak Verma</t>
  </si>
  <si>
    <t>demo.student485.deepakverma@example.com</t>
  </si>
  <si>
    <t>demo.student133.nehachauhan@example.com</t>
  </si>
  <si>
    <t>demo.student060.manishpanchal@example.com</t>
  </si>
  <si>
    <t>demo.student288.karanverma@example.com</t>
  </si>
  <si>
    <t>demo.student135.khushikhatri@example.com</t>
  </si>
  <si>
    <t>Mohit Khatri</t>
  </si>
  <si>
    <t>demo.student186.mohitkhatri@example.com</t>
  </si>
  <si>
    <t>Sonam Singh</t>
  </si>
  <si>
    <t>demo.student187.sonamsingh@example.com</t>
  </si>
  <si>
    <t>demo.student177.sakshamdahiya@example.com</t>
  </si>
  <si>
    <t>Isha Bansal</t>
  </si>
  <si>
    <t>demo.student210.ishabansal@example.com</t>
  </si>
  <si>
    <t>Sneha Saini</t>
  </si>
  <si>
    <t>demo.student499.snehasaini@example.com</t>
  </si>
  <si>
    <t>demo.student353.manishsaini@example.com</t>
  </si>
  <si>
    <t>demo.student468.rahulchauhan@example.com</t>
  </si>
  <si>
    <t>demo.student125.diyadahiya@example.com</t>
  </si>
  <si>
    <t>demo.student347.prachisaini@example.com</t>
  </si>
  <si>
    <t>Riya Bansal</t>
  </si>
  <si>
    <t>demo.student380.riyabansal@example.com</t>
  </si>
  <si>
    <t>demo.student392.varunverma@example.com</t>
  </si>
  <si>
    <t>demo.student052.aaravmehta@example.com</t>
  </si>
  <si>
    <t>demo.student333.sahilmalik@example.com</t>
  </si>
  <si>
    <t>Riya Malik</t>
  </si>
  <si>
    <t>demo.student008.riyamalik@example.com</t>
  </si>
  <si>
    <t>demo.student397.riyasaini@example.com</t>
  </si>
  <si>
    <t>Akash Mehta</t>
  </si>
  <si>
    <t>demo.student074.akashmehta@example.com</t>
  </si>
  <si>
    <t>demo.student377.shivanisingh@example.com</t>
  </si>
  <si>
    <t>demo.student356.ananyakhatri@example.com</t>
  </si>
  <si>
    <t>demo.student100.prachigupta@example.com</t>
  </si>
  <si>
    <t>demo.student150.diyadahiya@example.com</t>
  </si>
  <si>
    <t>demo.student016.aditisaini@example.com</t>
  </si>
  <si>
    <t>Ayush Sharma</t>
  </si>
  <si>
    <t>demo.student349.ayushsharma@example.com</t>
  </si>
  <si>
    <t>Yash Bansal</t>
  </si>
  <si>
    <t>demo.student311.yashbansal@example.com</t>
  </si>
  <si>
    <t>Ayush Panchal</t>
  </si>
  <si>
    <t>demo.student174.ayushpanchal@example.com</t>
  </si>
  <si>
    <t>Ayush Jain</t>
  </si>
  <si>
    <t>demo.student491.ayushjain@example.com</t>
  </si>
  <si>
    <t>Rohit Jain</t>
  </si>
  <si>
    <t>demo.student364.rohitjain@example.com</t>
  </si>
  <si>
    <t>demo.student405.mohitkumar@example.com</t>
  </si>
  <si>
    <t>demo.student404.riyabansal@example.com</t>
  </si>
  <si>
    <t>demo.student004.diyakumar@example.com</t>
  </si>
  <si>
    <t>Pooja Verma</t>
  </si>
  <si>
    <t>demo.student099.poojaverma@example.com</t>
  </si>
  <si>
    <t>demo.student086.prachijain@example.com</t>
  </si>
  <si>
    <t>Yash Chauhan</t>
  </si>
  <si>
    <t>demo.student389.yashchauhan@example.com</t>
  </si>
  <si>
    <t>demo.student015.sonamsharma@example.com</t>
  </si>
  <si>
    <t>demo.student237.anjalisingh@example.com</t>
  </si>
  <si>
    <t>demo.student314.snehasaini@example.com</t>
  </si>
  <si>
    <t>demo.student022.ayushmehta@example.com</t>
  </si>
  <si>
    <t>Diya Bansal</t>
  </si>
  <si>
    <t>demo.student101.diyabansal@example.com</t>
  </si>
  <si>
    <t>Varun Panchal</t>
  </si>
  <si>
    <t>demo.student320.varunpanchal@example.com</t>
  </si>
  <si>
    <t>Mehak Kumar</t>
  </si>
  <si>
    <t>demo.student227.mehakkumar@example.com</t>
  </si>
  <si>
    <t>demo.student344.tanyakhatri@example.com</t>
  </si>
  <si>
    <t>Tanya Saini</t>
  </si>
  <si>
    <t>demo.student345.tanyasaini@example.com</t>
  </si>
  <si>
    <t>demo.student207.khushimalik@example.com</t>
  </si>
  <si>
    <t>Arjun Jain</t>
  </si>
  <si>
    <t>demo.student231.arjunjain@example.com</t>
  </si>
  <si>
    <t>demo.student110.akashgupta@example.com</t>
  </si>
  <si>
    <t>Diya Saini</t>
  </si>
  <si>
    <t>demo.student045.diyasaini@example.com</t>
  </si>
  <si>
    <t>demo.student236.ananyajain@example.com</t>
  </si>
  <si>
    <t>Simran Saini</t>
  </si>
  <si>
    <t>demo.student295.simransaini@example.com</t>
  </si>
  <si>
    <t>Yash Sharma</t>
  </si>
  <si>
    <t>demo.student209.yashsharma@example.com</t>
  </si>
  <si>
    <t>Saksham Chauhan</t>
  </si>
  <si>
    <t>demo.student362.sakshamchauhan@example.com</t>
  </si>
  <si>
    <t>demo.student088.sakshamsingh@example.com</t>
  </si>
  <si>
    <t>demo.student182.snehasaini@example.com</t>
  </si>
  <si>
    <t>Diya Chauhan</t>
  </si>
  <si>
    <t>demo.student188.diyachauhan@example.com</t>
  </si>
  <si>
    <t>Sneha Panchal</t>
  </si>
  <si>
    <t>demo.student348.snehapanchal@example.com</t>
  </si>
  <si>
    <t>Nisha Verma</t>
  </si>
  <si>
    <t>demo.student214.nishaverma@example.com</t>
  </si>
  <si>
    <t>demo.student372.aaravyadav@example.com</t>
  </si>
  <si>
    <t>demo.student484.aditisingh@example.com</t>
  </si>
  <si>
    <t>demo.student306.manishgupta@example.com</t>
  </si>
  <si>
    <t>demo.student292.mehakmalik@example.com</t>
  </si>
  <si>
    <t>demo.student342.khushimalik@example.com</t>
  </si>
  <si>
    <t>Sahil Kumar</t>
  </si>
  <si>
    <t>demo.student253.sahilkumar@example.com</t>
  </si>
  <si>
    <t>demo.student151.poojadahiya@example.com</t>
  </si>
  <si>
    <t>demo.student500.ananyachauhan@example.com</t>
  </si>
  <si>
    <t>Sahil Panchal</t>
  </si>
  <si>
    <t>demo.student147.sahilpanchal@example.com</t>
  </si>
  <si>
    <t>demo.student452.rahuljain@example.com</t>
  </si>
  <si>
    <t>Karan Bansal</t>
  </si>
  <si>
    <t>demo.student464.karanbansal@example.com</t>
  </si>
  <si>
    <t>demo.student001.akashverma@example.com</t>
  </si>
  <si>
    <t>demo.student495.diyapanchal@example.com</t>
  </si>
  <si>
    <t>Kajal Khatri</t>
  </si>
  <si>
    <t>demo.student170.kajalkhatri@example.com</t>
  </si>
  <si>
    <t>Tanya Malik</t>
  </si>
  <si>
    <t>demo.student006.tanyamalik@example.com</t>
  </si>
  <si>
    <t>Muskan Dahiya</t>
  </si>
  <si>
    <t>demo.student273.muskandahiya@example.com</t>
  </si>
  <si>
    <t>demo.student274.kajalkumar@example.com</t>
  </si>
  <si>
    <t>demo.student341.ishamalik@example.com</t>
  </si>
  <si>
    <t>Diya Jain</t>
  </si>
  <si>
    <t>demo.student067.diyajain@example.com</t>
  </si>
  <si>
    <t>Ayush Chauhan</t>
  </si>
  <si>
    <t>demo.student299.ayushchauhan@example.com</t>
  </si>
  <si>
    <t>demo.student421.diyamehta@example.com</t>
  </si>
  <si>
    <t>Nisha Singh</t>
  </si>
  <si>
    <t>demo.student436.nishasingh@example.com</t>
  </si>
  <si>
    <t>demo.student091.varunverma@example.com</t>
  </si>
  <si>
    <t>demo.student366.snehasingh@example.com</t>
  </si>
  <si>
    <t>Khushi Dahiya</t>
  </si>
  <si>
    <t>demo.student242.khushidahiya@example.com</t>
  </si>
  <si>
    <t>demo.student346.diyajain@example.com</t>
  </si>
  <si>
    <t>demo.student018.mohitchauhan@example.com</t>
  </si>
  <si>
    <t>Khushi Verma</t>
  </si>
  <si>
    <t>demo.student240.khushiverma@example.com</t>
  </si>
  <si>
    <t>demo.student358.poojayadav@example.com</t>
  </si>
  <si>
    <t>demo.student032.nehamehta@example.com</t>
  </si>
  <si>
    <t>demo.student350.ananyamehta@example.com</t>
  </si>
  <si>
    <t>demo.student329.nishajain@example.com</t>
  </si>
  <si>
    <t>demo.student093.karansingh@example.com</t>
  </si>
  <si>
    <t>demo.student225.rahuldahiya@example.com</t>
  </si>
  <si>
    <t>demo.student030.karanyadav@example.com</t>
  </si>
  <si>
    <t>Prachi Chauhan</t>
  </si>
  <si>
    <t>demo.student081.prachichauhan@example.com</t>
  </si>
  <si>
    <t>demo.student422.ananyasharma@example.com</t>
  </si>
  <si>
    <t>demo.student087.aaravkumar@example.com</t>
  </si>
  <si>
    <t>Nisha Gupta</t>
  </si>
  <si>
    <t>demo.student157.nishagupta@example.com</t>
  </si>
  <si>
    <t>Varun Saini</t>
  </si>
  <si>
    <t>demo.student474.varunsaini@example.com</t>
  </si>
  <si>
    <t>Isha Dahiya</t>
  </si>
  <si>
    <t>demo.student148.ishadahiya@example.com</t>
  </si>
  <si>
    <t>Mehak Panchal</t>
  </si>
  <si>
    <t>demo.student050.mehakpanchal@example.com</t>
  </si>
  <si>
    <t>Tanya Yadav</t>
  </si>
  <si>
    <t>demo.student410.tanyayadav@example.com</t>
  </si>
  <si>
    <t>Arjun Mehta</t>
  </si>
  <si>
    <t>demo.student483.arjunmehta@example.com</t>
  </si>
  <si>
    <t>demo.student116.yashyadav@example.com</t>
  </si>
  <si>
    <t>Riya Sharma</t>
  </si>
  <si>
    <t>demo.student201.riyasharma@example.com</t>
  </si>
  <si>
    <t>Muskan Bansal</t>
  </si>
  <si>
    <t>demo.student305.muskanbansal@example.com</t>
  </si>
  <si>
    <t>demo.student123.aditisingh@example.com</t>
  </si>
  <si>
    <t>demo.student365.prachisaini@example.com</t>
  </si>
  <si>
    <t>Arjun Malik</t>
  </si>
  <si>
    <t>demo.student494.arjunmalik@example.com</t>
  </si>
  <si>
    <t>demo.student048.diyachauhan@example.com</t>
  </si>
  <si>
    <t>demo.student117.simransharma@example.com</t>
  </si>
  <si>
    <t>demo.student096.tanyajain@example.com</t>
  </si>
  <si>
    <t>demo.student363.akashverma@example.com</t>
  </si>
  <si>
    <t>Mehak Bansal</t>
  </si>
  <si>
    <t>demo.student270.mehakbansal@example.com</t>
  </si>
  <si>
    <t>Karan Mehta</t>
  </si>
  <si>
    <t>demo.student256.karanmehta@example.com</t>
  </si>
  <si>
    <t>demo.student217.khushigupta@example.com</t>
  </si>
  <si>
    <t>Aarav Verma</t>
  </si>
  <si>
    <t>demo.student496.aaravverma@example.com</t>
  </si>
  <si>
    <t>Sneha Khatri</t>
  </si>
  <si>
    <t>demo.student331.snehakhatri@example.com</t>
  </si>
  <si>
    <t>demo.student429.sakshambansal@example.com</t>
  </si>
  <si>
    <t>demo.student414.sakshamchauhan@example.com</t>
  </si>
  <si>
    <t>demo.student260.mehakgupta@example.com</t>
  </si>
  <si>
    <t>demo.student402.anjalidahiya@example.com</t>
  </si>
  <si>
    <t>demo.student398.aaravkumar@example.com</t>
  </si>
  <si>
    <t>demo.student294.mohityadav@example.com</t>
  </si>
  <si>
    <t>Sakshi</t>
  </si>
  <si>
    <t>sakshipanchal726@gmail.com</t>
  </si>
  <si>
    <t>Live</t>
  </si>
  <si>
    <t>SACHIN</t>
  </si>
  <si>
    <t>sp3265602@gmail.com</t>
  </si>
  <si>
    <t>Sonepat</t>
  </si>
  <si>
    <t>VISHANT</t>
  </si>
  <si>
    <t>VISHUPANCHAL418@GMAIL.COM</t>
  </si>
  <si>
    <t>Enquiry_Month</t>
  </si>
  <si>
    <t>Enquiry_Year</t>
  </si>
  <si>
    <t>Enquiry_Month_No</t>
  </si>
  <si>
    <t>Converted_Flag</t>
  </si>
  <si>
    <t>Total Enquiries</t>
  </si>
  <si>
    <t>Converted Enquiries</t>
  </si>
  <si>
    <t>Conversion Rate</t>
  </si>
  <si>
    <t>New Enquiries</t>
  </si>
  <si>
    <t>Interested Enquiries</t>
  </si>
  <si>
    <t>Follow-up Enquiries</t>
  </si>
  <si>
    <t>Contacted Enquiries</t>
  </si>
  <si>
    <t>Lost Enquiries</t>
  </si>
  <si>
    <t>Live Enquiries</t>
  </si>
  <si>
    <t>Synthetic Enquiries</t>
  </si>
  <si>
    <t>Grand Total</t>
  </si>
  <si>
    <t>Course Name</t>
  </si>
  <si>
    <t>Learning Mode</t>
  </si>
  <si>
    <t>Enquiry Status</t>
  </si>
  <si>
    <t>Lead Source</t>
  </si>
  <si>
    <t>April-2025</t>
  </si>
  <si>
    <t>April-2026</t>
  </si>
  <si>
    <t>August-2025</t>
  </si>
  <si>
    <t>August-2026</t>
  </si>
  <si>
    <t>December-2025</t>
  </si>
  <si>
    <t>February-2025</t>
  </si>
  <si>
    <t>February-2026</t>
  </si>
  <si>
    <t>January-2025</t>
  </si>
  <si>
    <t>January-2026</t>
  </si>
  <si>
    <t>July-2025</t>
  </si>
  <si>
    <t>July-2026</t>
  </si>
  <si>
    <t>June-2025</t>
  </si>
  <si>
    <t>June-2026</t>
  </si>
  <si>
    <t>March-2025</t>
  </si>
  <si>
    <t>March-2026</t>
  </si>
  <si>
    <t>May-2025</t>
  </si>
  <si>
    <t>May-2026</t>
  </si>
  <si>
    <t>November-2025</t>
  </si>
  <si>
    <t>October-2025</t>
  </si>
  <si>
    <t>September-2025</t>
  </si>
  <si>
    <t>September-2026</t>
  </si>
  <si>
    <t>City</t>
  </si>
  <si>
    <t>Qualification</t>
  </si>
  <si>
    <t>Age Group</t>
  </si>
  <si>
    <t>Preferred Batch</t>
  </si>
  <si>
    <t>Course Category</t>
  </si>
  <si>
    <t>INSTITUTE ENQUIRY ANALYSIS SUMMARY</t>
  </si>
  <si>
    <t>ENQUIRY PIVOT ANALYSIS &amp; VISUALIZATIONS</t>
  </si>
  <si>
    <t>INSTITUTE ENQUIRY &amp; CONVERSION ANALYTICS DASHBOARD</t>
  </si>
  <si>
    <t>Note: This dashboard uses synthetic/demo data created for portfolio and analytical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</si>
</sst>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b/>
      <sz val="14"/>
      <color theme="0"/>
      <name val="Calibri"/>
      <family val="2"/>
      <scheme val="minor"/>
    </font>
    <font>
      <sz val="14"/>
      <color theme="1"/>
      <name val="Calibri"/>
      <family val="2"/>
      <scheme val="minor"/>
    </font>
    <font>
      <b/>
      <sz val="11"/>
      <color theme="4" tint="-0.499984740745262"/>
      <name val="Calibri"/>
      <family val="2"/>
      <scheme val="minor"/>
    </font>
    <font>
      <b/>
      <sz val="11"/>
      <color theme="0"/>
      <name val="Calibri"/>
      <family val="2"/>
      <scheme val="minor"/>
    </font>
    <font>
      <b/>
      <sz val="11"/>
      <color theme="1"/>
      <name val="Calibri"/>
      <family val="2"/>
      <scheme val="minor"/>
    </font>
    <font>
      <b/>
      <sz val="12"/>
      <color theme="4" tint="-0.249977111117893"/>
      <name val="Calibri"/>
      <family val="2"/>
      <scheme val="minor"/>
    </font>
    <font>
      <b/>
      <sz val="16"/>
      <color theme="0"/>
      <name val="Calibri"/>
      <family val="2"/>
      <scheme val="minor"/>
    </font>
    <font>
      <b/>
      <sz val="18"/>
      <color theme="0"/>
      <name val="Calibri"/>
      <family val="2"/>
      <scheme val="minor"/>
    </font>
    <font>
      <b/>
      <sz val="20"/>
      <color theme="4" tint="-0.249977111117893"/>
      <name val="Calibri"/>
      <family val="2"/>
      <scheme val="minor"/>
    </font>
    <font>
      <b/>
      <sz val="11"/>
      <color theme="4" tint="-0.249977111117893"/>
      <name val="Calibri"/>
      <family val="2"/>
      <scheme val="minor"/>
    </font>
    <font>
      <b/>
      <i/>
      <sz val="9"/>
      <color theme="4" tint="-0.249977111117893"/>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4" tint="-0.249977111117893"/>
        <bgColor indexed="64"/>
      </patternFill>
    </fill>
    <fill>
      <patternFill patternType="solid">
        <fgColor theme="0"/>
        <bgColor indexed="64"/>
      </patternFill>
    </fill>
    <fill>
      <patternFill patternType="solid">
        <fgColor theme="4" tint="0.59999389629810485"/>
        <bgColor indexed="64"/>
      </patternFill>
    </fill>
  </fills>
  <borders count="17">
    <border>
      <left/>
      <right/>
      <top/>
      <bottom/>
      <diagonal/>
    </border>
    <border>
      <left style="thin">
        <color theme="4" tint="-0.499984740745262"/>
      </left>
      <right style="thin">
        <color indexed="64"/>
      </right>
      <top style="thin">
        <color theme="4" tint="-0.499984740745262"/>
      </top>
      <bottom style="thin">
        <color indexed="64"/>
      </bottom>
      <diagonal/>
    </border>
    <border>
      <left style="thin">
        <color indexed="64"/>
      </left>
      <right style="thin">
        <color theme="4" tint="-0.499984740745262"/>
      </right>
      <top style="thin">
        <color theme="4" tint="-0.499984740745262"/>
      </top>
      <bottom style="thin">
        <color indexed="64"/>
      </bottom>
      <diagonal/>
    </border>
    <border>
      <left style="thin">
        <color theme="4" tint="-0.499984740745262"/>
      </left>
      <right style="thin">
        <color indexed="64"/>
      </right>
      <top style="thin">
        <color indexed="64"/>
      </top>
      <bottom style="thin">
        <color indexed="64"/>
      </bottom>
      <diagonal/>
    </border>
    <border>
      <left style="thin">
        <color indexed="64"/>
      </left>
      <right style="thin">
        <color theme="4" tint="-0.499984740745262"/>
      </right>
      <top style="thin">
        <color indexed="64"/>
      </top>
      <bottom style="thin">
        <color indexed="64"/>
      </bottom>
      <diagonal/>
    </border>
    <border>
      <left style="thin">
        <color theme="4" tint="-0.499984740745262"/>
      </left>
      <right style="thin">
        <color indexed="64"/>
      </right>
      <top style="thin">
        <color indexed="64"/>
      </top>
      <bottom style="thin">
        <color theme="4" tint="-0.499984740745262"/>
      </bottom>
      <diagonal/>
    </border>
    <border>
      <left style="thin">
        <color indexed="64"/>
      </left>
      <right style="thin">
        <color theme="4" tint="-0.499984740745262"/>
      </right>
      <top style="thin">
        <color indexed="64"/>
      </top>
      <bottom style="thin">
        <color theme="4" tint="-0.499984740745262"/>
      </bottom>
      <diagonal/>
    </border>
    <border>
      <left style="thin">
        <color theme="4" tint="-0.499984740745262"/>
      </left>
      <right style="thin">
        <color indexed="64"/>
      </right>
      <top/>
      <bottom style="thin">
        <color theme="4" tint="-0.499984740745262"/>
      </bottom>
      <diagonal/>
    </border>
    <border>
      <left style="thin">
        <color indexed="64"/>
      </left>
      <right style="thin">
        <color theme="4" tint="-0.499984740745262"/>
      </right>
      <top/>
      <bottom style="thin">
        <color theme="4" tint="-0.499984740745262"/>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9" fontId="1" fillId="0" borderId="0" applyFont="0" applyFill="0" applyBorder="0" applyAlignment="0" applyProtection="0"/>
  </cellStyleXfs>
  <cellXfs count="55">
    <xf numFmtId="0" fontId="0" fillId="0" borderId="0" xfId="0"/>
    <xf numFmtId="22" fontId="0" fillId="0" borderId="0" xfId="0" applyNumberFormat="1"/>
    <xf numFmtId="49" fontId="0" fillId="0" borderId="0" xfId="0" applyNumberFormat="1"/>
    <xf numFmtId="10" fontId="0" fillId="0" borderId="0" xfId="1" applyNumberFormat="1" applyFont="1"/>
    <xf numFmtId="0" fontId="0" fillId="0" borderId="0" xfId="0" applyAlignment="1">
      <alignment horizontal="left"/>
    </xf>
    <xf numFmtId="0" fontId="0" fillId="2" borderId="0" xfId="0" applyFill="1"/>
    <xf numFmtId="10" fontId="0" fillId="2" borderId="0" xfId="1" applyNumberFormat="1" applyFont="1" applyFill="1"/>
    <xf numFmtId="0" fontId="0" fillId="0" borderId="0" xfId="0" applyAlignment="1">
      <alignment horizontal="center"/>
    </xf>
    <xf numFmtId="0" fontId="6" fillId="0" borderId="0" xfId="0" applyFont="1"/>
    <xf numFmtId="0" fontId="4" fillId="2" borderId="1" xfId="0" applyFont="1" applyFill="1" applyBorder="1" applyAlignment="1">
      <alignment horizontal="left"/>
    </xf>
    <xf numFmtId="0" fontId="7" fillId="0" borderId="2" xfId="0" applyFont="1" applyBorder="1" applyAlignment="1">
      <alignment horizontal="center"/>
    </xf>
    <xf numFmtId="0" fontId="4" fillId="2" borderId="3" xfId="0" applyFont="1" applyFill="1" applyBorder="1" applyAlignment="1">
      <alignment horizontal="left"/>
    </xf>
    <xf numFmtId="0" fontId="7" fillId="0" borderId="4" xfId="0" applyFont="1" applyBorder="1" applyAlignment="1">
      <alignment horizontal="center"/>
    </xf>
    <xf numFmtId="10" fontId="7" fillId="0" borderId="4" xfId="1" applyNumberFormat="1" applyFont="1" applyBorder="1" applyAlignment="1">
      <alignment horizontal="center"/>
    </xf>
    <xf numFmtId="0" fontId="4" fillId="2" borderId="5" xfId="0" applyFont="1" applyFill="1" applyBorder="1" applyAlignment="1">
      <alignment horizontal="left"/>
    </xf>
    <xf numFmtId="0" fontId="7" fillId="0" borderId="6" xfId="0" applyFont="1" applyBorder="1" applyAlignment="1">
      <alignment horizontal="center"/>
    </xf>
    <xf numFmtId="0" fontId="4" fillId="2" borderId="7" xfId="0" applyFont="1" applyFill="1" applyBorder="1" applyAlignment="1">
      <alignment horizontal="left"/>
    </xf>
    <xf numFmtId="0" fontId="7" fillId="0" borderId="8" xfId="0" applyFont="1" applyBorder="1" applyAlignment="1">
      <alignment horizontal="center"/>
    </xf>
    <xf numFmtId="0" fontId="5" fillId="3" borderId="0" xfId="0" applyFont="1" applyFill="1" applyAlignment="1">
      <alignment horizontal="center" wrapText="1"/>
    </xf>
    <xf numFmtId="49" fontId="5" fillId="3" borderId="0" xfId="0" applyNumberFormat="1" applyFont="1" applyFill="1" applyAlignment="1">
      <alignment horizontal="center" wrapText="1"/>
    </xf>
    <xf numFmtId="0" fontId="0" fillId="4" borderId="0" xfId="0" applyFill="1" applyAlignment="1">
      <alignment horizontal="center" wrapText="1"/>
    </xf>
    <xf numFmtId="0" fontId="6" fillId="0" borderId="0" xfId="0" pivotButton="1" applyFont="1"/>
    <xf numFmtId="0" fontId="0" fillId="0" borderId="0" xfId="0" applyAlignment="1">
      <alignment horizontal="left" indent="1"/>
    </xf>
    <xf numFmtId="0" fontId="0" fillId="0" borderId="0" xfId="0" applyAlignment="1">
      <alignment horizontal="left" indent="2"/>
    </xf>
    <xf numFmtId="0" fontId="0" fillId="0" borderId="0" xfId="0" applyAlignment="1">
      <alignment horizontal="center" vertical="center"/>
    </xf>
    <xf numFmtId="0" fontId="6" fillId="0" borderId="0" xfId="0" pivotButton="1" applyFont="1" applyAlignment="1">
      <alignment horizontal="left"/>
    </xf>
    <xf numFmtId="0" fontId="0" fillId="0" borderId="0" xfId="0" applyAlignment="1">
      <alignment horizontal="right"/>
    </xf>
    <xf numFmtId="0" fontId="9" fillId="3" borderId="0" xfId="0" applyFont="1" applyFill="1" applyAlignment="1">
      <alignment horizontal="center" vertical="center"/>
    </xf>
    <xf numFmtId="0" fontId="12" fillId="0" borderId="0" xfId="0" applyFont="1" applyAlignment="1">
      <alignment horizontal="left" vertical="top"/>
    </xf>
    <xf numFmtId="0" fontId="0" fillId="0" borderId="0" xfId="0" applyAlignment="1">
      <alignment horizontal="left" vertical="top"/>
    </xf>
    <xf numFmtId="0" fontId="10" fillId="5" borderId="12" xfId="0" applyFont="1" applyFill="1" applyBorder="1" applyAlignment="1">
      <alignment horizontal="center" vertical="center"/>
    </xf>
    <xf numFmtId="0" fontId="10" fillId="5" borderId="0" xfId="0" applyFont="1" applyFill="1" applyAlignment="1">
      <alignment horizontal="center" vertical="center"/>
    </xf>
    <xf numFmtId="0" fontId="10" fillId="5" borderId="13" xfId="0" applyFont="1" applyFill="1" applyBorder="1" applyAlignment="1">
      <alignment horizontal="center" vertical="center"/>
    </xf>
    <xf numFmtId="0" fontId="10" fillId="5" borderId="14" xfId="0" applyFont="1" applyFill="1" applyBorder="1" applyAlignment="1">
      <alignment horizontal="center" vertical="center"/>
    </xf>
    <xf numFmtId="0" fontId="10" fillId="5" borderId="15" xfId="0" applyFont="1" applyFill="1" applyBorder="1" applyAlignment="1">
      <alignment horizontal="center" vertical="center"/>
    </xf>
    <xf numFmtId="0" fontId="10" fillId="5" borderId="16" xfId="0" applyFont="1" applyFill="1" applyBorder="1" applyAlignment="1">
      <alignment horizontal="center" vertical="center"/>
    </xf>
    <xf numFmtId="0" fontId="11" fillId="5" borderId="9" xfId="0" applyFont="1" applyFill="1" applyBorder="1" applyAlignment="1">
      <alignment horizontal="center" vertical="center"/>
    </xf>
    <xf numFmtId="0" fontId="0" fillId="5" borderId="10" xfId="0" applyFill="1" applyBorder="1" applyAlignment="1">
      <alignment horizontal="center" vertical="center"/>
    </xf>
    <xf numFmtId="0" fontId="0" fillId="5" borderId="11" xfId="0" applyFill="1" applyBorder="1" applyAlignment="1">
      <alignment horizontal="center" vertical="center"/>
    </xf>
    <xf numFmtId="10" fontId="10" fillId="5" borderId="12" xfId="1" applyNumberFormat="1" applyFont="1" applyFill="1" applyBorder="1" applyAlignment="1">
      <alignment horizontal="center" vertical="center"/>
    </xf>
    <xf numFmtId="10" fontId="10" fillId="5" borderId="0" xfId="1" applyNumberFormat="1" applyFont="1" applyFill="1" applyBorder="1" applyAlignment="1">
      <alignment horizontal="center" vertical="center"/>
    </xf>
    <xf numFmtId="10" fontId="10" fillId="5" borderId="13" xfId="1" applyNumberFormat="1" applyFont="1" applyFill="1" applyBorder="1" applyAlignment="1">
      <alignment horizontal="center" vertical="center"/>
    </xf>
    <xf numFmtId="10" fontId="10" fillId="5" borderId="14" xfId="1" applyNumberFormat="1" applyFont="1" applyFill="1" applyBorder="1" applyAlignment="1">
      <alignment horizontal="center" vertical="center"/>
    </xf>
    <xf numFmtId="10" fontId="10" fillId="5" borderId="15" xfId="1" applyNumberFormat="1" applyFont="1" applyFill="1" applyBorder="1" applyAlignment="1">
      <alignment horizontal="center" vertical="center"/>
    </xf>
    <xf numFmtId="10" fontId="10" fillId="5" borderId="16" xfId="1" applyNumberFormat="1" applyFont="1" applyFill="1" applyBorder="1" applyAlignment="1">
      <alignment horizontal="center" vertical="center"/>
    </xf>
    <xf numFmtId="1" fontId="10" fillId="5" borderId="12" xfId="1" applyNumberFormat="1" applyFont="1" applyFill="1" applyBorder="1" applyAlignment="1">
      <alignment horizontal="center" vertical="center"/>
    </xf>
    <xf numFmtId="1" fontId="10" fillId="5" borderId="0" xfId="1" applyNumberFormat="1" applyFont="1" applyFill="1" applyBorder="1" applyAlignment="1">
      <alignment horizontal="center" vertical="center"/>
    </xf>
    <xf numFmtId="1" fontId="10" fillId="5" borderId="13" xfId="1" applyNumberFormat="1" applyFont="1" applyFill="1" applyBorder="1" applyAlignment="1">
      <alignment horizontal="center" vertical="center"/>
    </xf>
    <xf numFmtId="1" fontId="10" fillId="5" borderId="14" xfId="1" applyNumberFormat="1" applyFont="1" applyFill="1" applyBorder="1" applyAlignment="1">
      <alignment horizontal="center" vertical="center"/>
    </xf>
    <xf numFmtId="1" fontId="10" fillId="5" borderId="15" xfId="1" applyNumberFormat="1" applyFont="1" applyFill="1" applyBorder="1" applyAlignment="1">
      <alignment horizontal="center" vertical="center"/>
    </xf>
    <xf numFmtId="1" fontId="10" fillId="5" borderId="16" xfId="1" applyNumberFormat="1" applyFont="1" applyFill="1" applyBorder="1" applyAlignment="1">
      <alignment horizontal="center" vertical="center"/>
    </xf>
    <xf numFmtId="0" fontId="2" fillId="3" borderId="0" xfId="0" applyFont="1" applyFill="1" applyAlignment="1">
      <alignment horizontal="center" vertical="center"/>
    </xf>
    <xf numFmtId="0" fontId="3" fillId="3" borderId="0" xfId="0" applyFont="1" applyFill="1" applyAlignment="1">
      <alignment horizontal="center" vertical="center"/>
    </xf>
    <xf numFmtId="0" fontId="8" fillId="3" borderId="0" xfId="0" applyFont="1" applyFill="1" applyAlignment="1">
      <alignment horizontal="center" vertical="center" wrapText="1"/>
    </xf>
    <xf numFmtId="0" fontId="0" fillId="3" borderId="0" xfId="0" applyFill="1" applyAlignment="1">
      <alignment horizontal="center" vertical="center" wrapText="1"/>
    </xf>
  </cellXfs>
  <cellStyles count="2">
    <cellStyle name="Normal" xfId="0" builtinId="0"/>
    <cellStyle name="Percent" xfId="1" builtinId="5"/>
  </cellStyles>
  <dxfs count="47">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4" formatCode="0.00%"/>
    </dxf>
    <dxf>
      <alignment horizontal="right"/>
    </dxf>
    <dxf>
      <alignment horizontal="center"/>
    </dxf>
    <dxf>
      <alignment horizontal="center"/>
    </dxf>
    <dxf>
      <font>
        <b val="0"/>
      </font>
    </dxf>
    <dxf>
      <font>
        <b/>
      </font>
      <alignment horizontal="general" vertical="bottom" textRotation="0" wrapText="0" indent="0" justifyLastLine="0" shrinkToFit="0" readingOrder="0"/>
    </dxf>
    <dxf>
      <font>
        <b/>
      </font>
    </dxf>
    <dxf>
      <font>
        <b/>
      </font>
    </dxf>
    <dxf>
      <font>
        <b/>
      </font>
    </dxf>
    <dxf>
      <font>
        <b/>
      </font>
    </dxf>
    <dxf>
      <alignment horizontal="center"/>
    </dxf>
    <dxf>
      <font>
        <b/>
      </font>
    </dxf>
    <dxf>
      <alignment horizontal="center"/>
    </dxf>
    <dxf>
      <font>
        <b/>
      </font>
    </dxf>
    <dxf>
      <font>
        <b/>
      </font>
    </dxf>
    <dxf>
      <font>
        <b/>
      </font>
    </dxf>
    <dxf>
      <alignment horizontal="center"/>
    </dxf>
    <dxf>
      <alignment horizontal="left"/>
    </dxf>
    <dxf>
      <alignment horizontal="left"/>
    </dxf>
    <dxf>
      <font>
        <b/>
      </font>
    </dxf>
    <dxf>
      <alignment horizontal="center"/>
    </dxf>
    <dxf>
      <font>
        <b/>
      </font>
    </dxf>
    <dxf>
      <font>
        <b/>
      </font>
    </dxf>
    <dxf>
      <alignment horizontal="center"/>
    </dxf>
    <dxf>
      <font>
        <b/>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font>
        <b/>
        <strike val="0"/>
        <outline val="0"/>
        <shadow val="0"/>
        <u val="none"/>
        <vertAlign val="baseline"/>
        <sz val="11"/>
        <color theme="0"/>
        <name val="Calibri"/>
        <family val="2"/>
        <scheme val="minor"/>
      </font>
      <fill>
        <patternFill patternType="solid">
          <fgColor indexed="64"/>
          <bgColor theme="4" tint="-0.249977111117893"/>
        </patternFill>
      </fill>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[Institute_Enquiry_Enrollment_Analytics.xlsx]Pivot_Analysis!PT_Course_Demand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Course-wise Enquiry Demand</a:t>
            </a:r>
          </a:p>
          <a:p>
            <a:pPr>
              <a:defRPr/>
            </a:pPr>
            <a:endParaRPr lang="en-IN"/>
          </a:p>
        </c:rich>
      </c:tx>
      <c:layout>
        <c:manualLayout>
          <c:xMode val="edge"/>
          <c:yMode val="edge"/>
          <c:x val="0.16319848435761272"/>
          <c:y val="1.934975869951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34911622764419"/>
          <c:y val="0.22688476095184237"/>
          <c:w val="0.46251617315441201"/>
          <c:h val="0.65526215300435509"/>
        </c:manualLayout>
      </c:layout>
      <c:barChart>
        <c:barDir val="bar"/>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Pivot_Analysis!$A$4:$A$19</c:f>
              <c:strCache>
                <c:ptCount val="15"/>
                <c:pt idx="0">
                  <c:v>Computer Typing</c:v>
                </c:pt>
                <c:pt idx="1">
                  <c:v>Python Programming</c:v>
                </c:pt>
                <c:pt idx="2">
                  <c:v>Video Editing</c:v>
                </c:pt>
                <c:pt idx="3">
                  <c:v>Data Analytics</c:v>
                </c:pt>
                <c:pt idx="4">
                  <c:v>Web Designing</c:v>
                </c:pt>
                <c:pt idx="5">
                  <c:v>Trading &amp; Financial Market Basics</c:v>
                </c:pt>
                <c:pt idx="6">
                  <c:v>Tally with GST</c:v>
                </c:pt>
                <c:pt idx="7">
                  <c:v>Basic Computer Course</c:v>
                </c:pt>
                <c:pt idx="8">
                  <c:v>Full Stack Development</c:v>
                </c:pt>
                <c:pt idx="9">
                  <c:v>DCA</c:v>
                </c:pt>
                <c:pt idx="10">
                  <c:v>Graphic Designing</c:v>
                </c:pt>
                <c:pt idx="11">
                  <c:v>Data Science</c:v>
                </c:pt>
                <c:pt idx="12">
                  <c:v>AI &amp; Machine Learning</c:v>
                </c:pt>
                <c:pt idx="13">
                  <c:v>Advanced Excel</c:v>
                </c:pt>
                <c:pt idx="14">
                  <c:v>Digital Marketing</c:v>
                </c:pt>
              </c:strCache>
            </c:strRef>
          </c:cat>
          <c:val>
            <c:numRef>
              <c:f>Pivot_Analysis!$B$4:$B$19</c:f>
              <c:numCache>
                <c:formatCode>General</c:formatCode>
                <c:ptCount val="15"/>
                <c:pt idx="0">
                  <c:v>50</c:v>
                </c:pt>
                <c:pt idx="1">
                  <c:v>42</c:v>
                </c:pt>
                <c:pt idx="2">
                  <c:v>40</c:v>
                </c:pt>
                <c:pt idx="3">
                  <c:v>39</c:v>
                </c:pt>
                <c:pt idx="4">
                  <c:v>39</c:v>
                </c:pt>
                <c:pt idx="5">
                  <c:v>36</c:v>
                </c:pt>
                <c:pt idx="6">
                  <c:v>33</c:v>
                </c:pt>
                <c:pt idx="7">
                  <c:v>33</c:v>
                </c:pt>
                <c:pt idx="8">
                  <c:v>31</c:v>
                </c:pt>
                <c:pt idx="9">
                  <c:v>31</c:v>
                </c:pt>
                <c:pt idx="10">
                  <c:v>28</c:v>
                </c:pt>
                <c:pt idx="11">
                  <c:v>26</c:v>
                </c:pt>
                <c:pt idx="12">
                  <c:v>25</c:v>
                </c:pt>
                <c:pt idx="13">
                  <c:v>25</c:v>
                </c:pt>
                <c:pt idx="14">
                  <c:v>25</c:v>
                </c:pt>
              </c:numCache>
            </c:numRef>
          </c:val>
          <c:extLst>
            <c:ext xmlns:c16="http://schemas.microsoft.com/office/drawing/2014/chart" uri="{C3380CC4-5D6E-409C-BE32-E72D297353CC}">
              <c16:uniqueId val="{00000000-29D1-4ECE-BDCB-8AD70D54BB0A}"/>
            </c:ext>
          </c:extLst>
        </c:ser>
        <c:dLbls>
          <c:showLegendKey val="0"/>
          <c:showVal val="0"/>
          <c:showCatName val="0"/>
          <c:showSerName val="0"/>
          <c:showPercent val="0"/>
          <c:showBubbleSize val="0"/>
        </c:dLbls>
        <c:gapWidth val="182"/>
        <c:axId val="797875568"/>
        <c:axId val="743158608"/>
      </c:barChart>
      <c:catAx>
        <c:axId val="79787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58608"/>
        <c:crosses val="autoZero"/>
        <c:auto val="1"/>
        <c:lblAlgn val="ctr"/>
        <c:lblOffset val="100"/>
        <c:noMultiLvlLbl val="0"/>
      </c:catAx>
      <c:valAx>
        <c:axId val="743158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87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[Institute_Enquiry_Enrollment_Analytics.xlsx]Pivot_Analysis!PT_Learning_Mode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Enquiries by Learning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doughnutChart>
        <c:varyColors val="1"/>
        <c:ser>
          <c:idx val="0"/>
          <c:order val="0"/>
          <c:tx>
            <c:strRef>
              <c:f>Pivot_Analysis!$F$3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046-47A7-92FC-C6188A61E227}"/>
              </c:ext>
            </c:extLst>
          </c:dPt>
          <c:dPt>
            <c:idx val="1"/>
            <c:bubble3D val="0"/>
            <c:spPr>
              <a:solidFill>
                <a:schemeClr val="accent2"/>
              </a:solidFill>
              <a:ln>
                <a:noFill/>
              </a:ln>
              <a:effectLst/>
            </c:spPr>
            <c:extLst>
              <c:ext xmlns:c16="http://schemas.microsoft.com/office/drawing/2014/chart" uri="{C3380CC4-5D6E-409C-BE32-E72D297353CC}">
                <c16:uniqueId val="{00000003-0046-47A7-92FC-C6188A61E2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Pivot_Analysis!$E$4:$E$6</c:f>
              <c:strCache>
                <c:ptCount val="2"/>
                <c:pt idx="0">
                  <c:v>Offline</c:v>
                </c:pt>
                <c:pt idx="1">
                  <c:v>Online</c:v>
                </c:pt>
              </c:strCache>
            </c:strRef>
          </c:cat>
          <c:val>
            <c:numRef>
              <c:f>Pivot_Analysis!$F$4:$F$6</c:f>
              <c:numCache>
                <c:formatCode>General</c:formatCode>
                <c:ptCount val="2"/>
                <c:pt idx="0">
                  <c:v>324</c:v>
                </c:pt>
                <c:pt idx="1">
                  <c:v>179</c:v>
                </c:pt>
              </c:numCache>
            </c:numRef>
          </c:val>
          <c:extLst>
            <c:ext xmlns:c16="http://schemas.microsoft.com/office/drawing/2014/chart" uri="{C3380CC4-5D6E-409C-BE32-E72D297353CC}">
              <c16:uniqueId val="{00000000-6D12-4D9F-994C-BFC32CB42C96}"/>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[Institute_Enquiry_Enrollment_Analytics.xlsx]Pivot_Analysis!PT_Monthly_Trend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Enquiry Trend</a:t>
            </a:r>
          </a:p>
        </c:rich>
      </c:tx>
      <c:layout>
        <c:manualLayout>
          <c:xMode val="edge"/>
          <c:yMode val="edge"/>
          <c:x val="0.29331854908510768"/>
          <c:y val="3.5484717636101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20884201401433E-2"/>
          <c:y val="0.22824261453299646"/>
          <c:w val="0.89829175596169741"/>
          <c:h val="0.22279090113735783"/>
        </c:manualLayout>
      </c:layout>
      <c:lineChart>
        <c:grouping val="standard"/>
        <c:varyColors val="0"/>
        <c:ser>
          <c:idx val="0"/>
          <c:order val="0"/>
          <c:tx>
            <c:strRef>
              <c:f>Pivot_Analysis!$S$3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Pivot_Analysis!$R$4:$R$48</c:f>
              <c:multiLvlStrCache>
                <c:ptCount val="21"/>
                <c:lvl>
                  <c:pt idx="0">
                    <c:v>January-2025</c:v>
                  </c:pt>
                  <c:pt idx="1">
                    <c:v>February-2025</c:v>
                  </c:pt>
                  <c:pt idx="2">
                    <c:v>March-2025</c:v>
                  </c:pt>
                  <c:pt idx="3">
                    <c:v>April-2025</c:v>
                  </c:pt>
                  <c:pt idx="4">
                    <c:v>May-2025</c:v>
                  </c:pt>
                  <c:pt idx="5">
                    <c:v>June-2025</c:v>
                  </c:pt>
                  <c:pt idx="6">
                    <c:v>July-2025</c:v>
                  </c:pt>
                  <c:pt idx="7">
                    <c:v>August-2025</c:v>
                  </c:pt>
                  <c:pt idx="8">
                    <c:v>September-2025</c:v>
                  </c:pt>
                  <c:pt idx="9">
                    <c:v>October-2025</c:v>
                  </c:pt>
                  <c:pt idx="10">
                    <c:v>November-2025</c:v>
                  </c:pt>
                  <c:pt idx="11">
                    <c:v>December-2025</c:v>
                  </c:pt>
                  <c:pt idx="12">
                    <c:v>January-2026</c:v>
                  </c:pt>
                  <c:pt idx="13">
                    <c:v>February-2026</c:v>
                  </c:pt>
                  <c:pt idx="14">
                    <c:v>March-2026</c:v>
                  </c:pt>
                  <c:pt idx="15">
                    <c:v>April-2026</c:v>
                  </c:pt>
                  <c:pt idx="16">
                    <c:v>May-2026</c:v>
                  </c:pt>
                  <c:pt idx="17">
                    <c:v>June-2026</c:v>
                  </c:pt>
                  <c:pt idx="18">
                    <c:v>July-2026</c:v>
                  </c:pt>
                  <c:pt idx="19">
                    <c:v>August-2026</c:v>
                  </c:pt>
                  <c:pt idx="20">
                    <c:v>September-2026</c:v>
                  </c:pt>
                </c:lvl>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lvl>
                <c:lvl>
                  <c:pt idx="0">
                    <c:v>2025</c:v>
                  </c:pt>
                  <c:pt idx="12">
                    <c:v>2026</c:v>
                  </c:pt>
                </c:lvl>
              </c:multiLvlStrCache>
            </c:multiLvlStrRef>
          </c:cat>
          <c:val>
            <c:numRef>
              <c:f>Pivot_Analysis!$S$4:$S$48</c:f>
              <c:numCache>
                <c:formatCode>General</c:formatCode>
                <c:ptCount val="21"/>
                <c:pt idx="0">
                  <c:v>20</c:v>
                </c:pt>
                <c:pt idx="1">
                  <c:v>17</c:v>
                </c:pt>
                <c:pt idx="2">
                  <c:v>26</c:v>
                </c:pt>
                <c:pt idx="3">
                  <c:v>22</c:v>
                </c:pt>
                <c:pt idx="4">
                  <c:v>29</c:v>
                </c:pt>
                <c:pt idx="5">
                  <c:v>25</c:v>
                </c:pt>
                <c:pt idx="6">
                  <c:v>24</c:v>
                </c:pt>
                <c:pt idx="7">
                  <c:v>19</c:v>
                </c:pt>
                <c:pt idx="8">
                  <c:v>23</c:v>
                </c:pt>
                <c:pt idx="9">
                  <c:v>30</c:v>
                </c:pt>
                <c:pt idx="10">
                  <c:v>15</c:v>
                </c:pt>
                <c:pt idx="11">
                  <c:v>25</c:v>
                </c:pt>
                <c:pt idx="12">
                  <c:v>25</c:v>
                </c:pt>
                <c:pt idx="13">
                  <c:v>27</c:v>
                </c:pt>
                <c:pt idx="14">
                  <c:v>22</c:v>
                </c:pt>
                <c:pt idx="15">
                  <c:v>22</c:v>
                </c:pt>
                <c:pt idx="16">
                  <c:v>31</c:v>
                </c:pt>
                <c:pt idx="17">
                  <c:v>27</c:v>
                </c:pt>
                <c:pt idx="18">
                  <c:v>23</c:v>
                </c:pt>
                <c:pt idx="19">
                  <c:v>31</c:v>
                </c:pt>
                <c:pt idx="20">
                  <c:v>20</c:v>
                </c:pt>
              </c:numCache>
            </c:numRef>
          </c:val>
          <c:smooth val="0"/>
          <c:extLst>
            <c:ext xmlns:c16="http://schemas.microsoft.com/office/drawing/2014/chart" uri="{C3380CC4-5D6E-409C-BE32-E72D297353CC}">
              <c16:uniqueId val="{00000000-4C66-487B-9860-B5F98B355664}"/>
            </c:ext>
          </c:extLst>
        </c:ser>
        <c:dLbls>
          <c:showLegendKey val="0"/>
          <c:showVal val="0"/>
          <c:showCatName val="0"/>
          <c:showSerName val="0"/>
          <c:showPercent val="0"/>
          <c:showBubbleSize val="0"/>
        </c:dLbls>
        <c:marker val="1"/>
        <c:smooth val="0"/>
        <c:axId val="2049380608"/>
        <c:axId val="2123184464"/>
      </c:lineChart>
      <c:catAx>
        <c:axId val="204938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84464"/>
        <c:crosses val="autoZero"/>
        <c:auto val="1"/>
        <c:lblAlgn val="ctr"/>
        <c:lblOffset val="100"/>
        <c:noMultiLvlLbl val="0"/>
      </c:catAx>
      <c:valAx>
        <c:axId val="212318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38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[Institute_Enquiry_Enrollment_Analytics.xlsx]Pivot_Analysis!PT_Status_Distribution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Enquiry Status Distribution</a:t>
            </a:r>
            <a:endParaRPr lang="en-IN"/>
          </a:p>
        </c:rich>
      </c:tx>
      <c:layout>
        <c:manualLayout>
          <c:xMode val="edge"/>
          <c:yMode val="edge"/>
          <c:x val="0.24684534625479507"/>
          <c:y val="5.16615296305077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52138523170438E-2"/>
          <c:y val="0.20005033047572696"/>
          <c:w val="0.86663585068060822"/>
          <c:h val="0.57291430092633033"/>
        </c:manualLayout>
      </c:layout>
      <c:barChart>
        <c:barDir val="col"/>
        <c:grouping val="clustered"/>
        <c:varyColors val="0"/>
        <c:ser>
          <c:idx val="0"/>
          <c:order val="0"/>
          <c:tx>
            <c:strRef>
              <c:f>Pivot_Analysis!$J$3</c:f>
              <c:strCache>
                <c:ptCount val="1"/>
                <c:pt idx="0">
                  <c:v>Total</c:v>
                </c:pt>
              </c:strCache>
            </c:strRef>
          </c:tx>
          <c:spPr>
            <a:solidFill>
              <a:schemeClr val="accent1"/>
            </a:solidFill>
            <a:ln>
              <a:noFill/>
            </a:ln>
            <a:effectLst/>
          </c:spPr>
          <c:invertIfNegative val="0"/>
          <c:cat>
            <c:strRef>
              <c:f>Pivot_Analysis!$I$4:$I$10</c:f>
              <c:strCache>
                <c:ptCount val="6"/>
                <c:pt idx="0">
                  <c:v>Contacted</c:v>
                </c:pt>
                <c:pt idx="1">
                  <c:v>Converted</c:v>
                </c:pt>
                <c:pt idx="2">
                  <c:v>Follow-up</c:v>
                </c:pt>
                <c:pt idx="3">
                  <c:v>Interested</c:v>
                </c:pt>
                <c:pt idx="4">
                  <c:v>Lost</c:v>
                </c:pt>
                <c:pt idx="5">
                  <c:v>New</c:v>
                </c:pt>
              </c:strCache>
            </c:strRef>
          </c:cat>
          <c:val>
            <c:numRef>
              <c:f>Pivot_Analysis!$J$4:$J$10</c:f>
              <c:numCache>
                <c:formatCode>General</c:formatCode>
                <c:ptCount val="6"/>
                <c:pt idx="0">
                  <c:v>70</c:v>
                </c:pt>
                <c:pt idx="1">
                  <c:v>173</c:v>
                </c:pt>
                <c:pt idx="2">
                  <c:v>80</c:v>
                </c:pt>
                <c:pt idx="3">
                  <c:v>90</c:v>
                </c:pt>
                <c:pt idx="4">
                  <c:v>30</c:v>
                </c:pt>
                <c:pt idx="5">
                  <c:v>60</c:v>
                </c:pt>
              </c:numCache>
            </c:numRef>
          </c:val>
          <c:extLst>
            <c:ext xmlns:c16="http://schemas.microsoft.com/office/drawing/2014/chart" uri="{C3380CC4-5D6E-409C-BE32-E72D297353CC}">
              <c16:uniqueId val="{00000000-8F7A-4CB2-A853-68BD90A47D95}"/>
            </c:ext>
          </c:extLst>
        </c:ser>
        <c:dLbls>
          <c:showLegendKey val="0"/>
          <c:showVal val="0"/>
          <c:showCatName val="0"/>
          <c:showSerName val="0"/>
          <c:showPercent val="0"/>
          <c:showBubbleSize val="0"/>
        </c:dLbls>
        <c:gapWidth val="219"/>
        <c:overlap val="-27"/>
        <c:axId val="1156521696"/>
        <c:axId val="743203248"/>
      </c:barChart>
      <c:catAx>
        <c:axId val="11565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203248"/>
        <c:crosses val="autoZero"/>
        <c:auto val="1"/>
        <c:lblAlgn val="ctr"/>
        <c:lblOffset val="100"/>
        <c:noMultiLvlLbl val="0"/>
      </c:catAx>
      <c:valAx>
        <c:axId val="74320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2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[Institute_Enquiry_Enrollment_Analytics.xlsx]Pivot_Analysis!PT_Lead_Source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Enquiries by Lead Source</a:t>
            </a:r>
          </a:p>
        </c:rich>
      </c:tx>
      <c:layout>
        <c:manualLayout>
          <c:xMode val="edge"/>
          <c:yMode val="edge"/>
          <c:x val="0.24636818653482268"/>
          <c:y val="2.48405848307423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s>
    <c:plotArea>
      <c:layout/>
      <c:pieChart>
        <c:varyColors val="1"/>
        <c:ser>
          <c:idx val="0"/>
          <c:order val="0"/>
          <c:tx>
            <c:strRef>
              <c:f>Pivot_Analysis!$O$3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923-4F4C-ACE5-05B98B5FBBF2}"/>
              </c:ext>
            </c:extLst>
          </c:dPt>
          <c:dPt>
            <c:idx val="1"/>
            <c:bubble3D val="0"/>
            <c:spPr>
              <a:solidFill>
                <a:schemeClr val="accent2"/>
              </a:solidFill>
              <a:ln>
                <a:noFill/>
              </a:ln>
              <a:effectLst/>
            </c:spPr>
            <c:extLst>
              <c:ext xmlns:c16="http://schemas.microsoft.com/office/drawing/2014/chart" uri="{C3380CC4-5D6E-409C-BE32-E72D297353CC}">
                <c16:uniqueId val="{00000003-2923-4F4C-ACE5-05B98B5FBBF2}"/>
              </c:ext>
            </c:extLst>
          </c:dPt>
          <c:dPt>
            <c:idx val="2"/>
            <c:bubble3D val="0"/>
            <c:spPr>
              <a:solidFill>
                <a:schemeClr val="accent3"/>
              </a:solidFill>
              <a:ln>
                <a:noFill/>
              </a:ln>
              <a:effectLst/>
            </c:spPr>
            <c:extLst>
              <c:ext xmlns:c16="http://schemas.microsoft.com/office/drawing/2014/chart" uri="{C3380CC4-5D6E-409C-BE32-E72D297353CC}">
                <c16:uniqueId val="{00000005-2923-4F4C-ACE5-05B98B5FBBF2}"/>
              </c:ext>
            </c:extLst>
          </c:dPt>
          <c:dPt>
            <c:idx val="3"/>
            <c:bubble3D val="0"/>
            <c:spPr>
              <a:solidFill>
                <a:schemeClr val="accent4"/>
              </a:solidFill>
              <a:ln>
                <a:noFill/>
              </a:ln>
              <a:effectLst/>
            </c:spPr>
            <c:extLst>
              <c:ext xmlns:c16="http://schemas.microsoft.com/office/drawing/2014/chart" uri="{C3380CC4-5D6E-409C-BE32-E72D297353CC}">
                <c16:uniqueId val="{00000007-2923-4F4C-ACE5-05B98B5FBBF2}"/>
              </c:ext>
            </c:extLst>
          </c:dPt>
          <c:dPt>
            <c:idx val="4"/>
            <c:bubble3D val="0"/>
            <c:spPr>
              <a:solidFill>
                <a:schemeClr val="accent5"/>
              </a:solidFill>
              <a:ln>
                <a:noFill/>
              </a:ln>
              <a:effectLst/>
            </c:spPr>
            <c:extLst>
              <c:ext xmlns:c16="http://schemas.microsoft.com/office/drawing/2014/chart" uri="{C3380CC4-5D6E-409C-BE32-E72D297353CC}">
                <c16:uniqueId val="{00000009-2923-4F4C-ACE5-05B98B5FBBF2}"/>
              </c:ext>
            </c:extLst>
          </c:dPt>
          <c:dPt>
            <c:idx val="5"/>
            <c:bubble3D val="0"/>
            <c:spPr>
              <a:solidFill>
                <a:schemeClr val="accent6"/>
              </a:solidFill>
              <a:ln>
                <a:noFill/>
              </a:ln>
              <a:effectLst/>
            </c:spPr>
            <c:extLst>
              <c:ext xmlns:c16="http://schemas.microsoft.com/office/drawing/2014/chart" uri="{C3380CC4-5D6E-409C-BE32-E72D297353CC}">
                <c16:uniqueId val="{0000000B-2923-4F4C-ACE5-05B98B5FBBF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923-4F4C-ACE5-05B98B5FBBF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923-4F4C-ACE5-05B98B5FBB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Pivot_Analysis!$N$4:$N$12</c:f>
              <c:strCache>
                <c:ptCount val="8"/>
                <c:pt idx="0">
                  <c:v>Google Search</c:v>
                </c:pt>
                <c:pt idx="1">
                  <c:v>Instagram</c:v>
                </c:pt>
                <c:pt idx="2">
                  <c:v>Referral</c:v>
                </c:pt>
                <c:pt idx="3">
                  <c:v>Walk-in</c:v>
                </c:pt>
                <c:pt idx="4">
                  <c:v>Facebook</c:v>
                </c:pt>
                <c:pt idx="5">
                  <c:v>YouTube</c:v>
                </c:pt>
                <c:pt idx="6">
                  <c:v>LinkedIn</c:v>
                </c:pt>
                <c:pt idx="7">
                  <c:v>Other</c:v>
                </c:pt>
              </c:strCache>
            </c:strRef>
          </c:cat>
          <c:val>
            <c:numRef>
              <c:f>Pivot_Analysis!$O$4:$O$12</c:f>
              <c:numCache>
                <c:formatCode>General</c:formatCode>
                <c:ptCount val="8"/>
                <c:pt idx="0">
                  <c:v>121</c:v>
                </c:pt>
                <c:pt idx="1">
                  <c:v>116</c:v>
                </c:pt>
                <c:pt idx="2">
                  <c:v>73</c:v>
                </c:pt>
                <c:pt idx="3">
                  <c:v>56</c:v>
                </c:pt>
                <c:pt idx="4">
                  <c:v>45</c:v>
                </c:pt>
                <c:pt idx="5">
                  <c:v>40</c:v>
                </c:pt>
                <c:pt idx="6">
                  <c:v>28</c:v>
                </c:pt>
                <c:pt idx="7">
                  <c:v>24</c:v>
                </c:pt>
              </c:numCache>
            </c:numRef>
          </c:val>
          <c:extLst>
            <c:ext xmlns:c16="http://schemas.microsoft.com/office/drawing/2014/chart" uri="{C3380CC4-5D6E-409C-BE32-E72D297353CC}">
              <c16:uniqueId val="{00000010-2923-4F4C-ACE5-05B98B5FBBF2}"/>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Course-wise Enquiry &amp; Conversion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Conversion_Analysis!$B$2</c:f>
              <c:strCache>
                <c:ptCount val="1"/>
                <c:pt idx="0">
                  <c:v>Total Enquiries</c:v>
                </c:pt>
              </c:strCache>
            </c:strRef>
          </c:tx>
          <c:spPr>
            <a:solidFill>
              <a:schemeClr val="accent1"/>
            </a:solidFill>
            <a:ln>
              <a:noFill/>
            </a:ln>
            <a:effectLst/>
          </c:spPr>
          <c:invertIfNegative val="0"/>
          <c:cat>
            <c:strRef>
              <c:f>Conversion_Analysis!$A$3:$A$17</c:f>
              <c:strCache>
                <c:ptCount val="15"/>
                <c:pt idx="0">
                  <c:v>Advanced Excel</c:v>
                </c:pt>
                <c:pt idx="1">
                  <c:v>AI &amp; Machine Learning</c:v>
                </c:pt>
                <c:pt idx="2">
                  <c:v>Basic Computer Course</c:v>
                </c:pt>
                <c:pt idx="3">
                  <c:v>Computer Typing</c:v>
                </c:pt>
                <c:pt idx="4">
                  <c:v>Data Analytics</c:v>
                </c:pt>
                <c:pt idx="5">
                  <c:v>Data Science</c:v>
                </c:pt>
                <c:pt idx="6">
                  <c:v>DCA</c:v>
                </c:pt>
                <c:pt idx="7">
                  <c:v>Digital Marketing</c:v>
                </c:pt>
                <c:pt idx="8">
                  <c:v>Full Stack Development</c:v>
                </c:pt>
                <c:pt idx="9">
                  <c:v>Graphic Designing</c:v>
                </c:pt>
                <c:pt idx="10">
                  <c:v>Python Programming</c:v>
                </c:pt>
                <c:pt idx="11">
                  <c:v>Tally with GST</c:v>
                </c:pt>
                <c:pt idx="12">
                  <c:v>Trading &amp; Financial Market Basics</c:v>
                </c:pt>
                <c:pt idx="13">
                  <c:v>Video Editing</c:v>
                </c:pt>
                <c:pt idx="14">
                  <c:v>Web Designing</c:v>
                </c:pt>
              </c:strCache>
            </c:strRef>
          </c:cat>
          <c:val>
            <c:numRef>
              <c:f>Conversion_Analysis!$B$3:$B$17</c:f>
              <c:numCache>
                <c:formatCode>General</c:formatCode>
                <c:ptCount val="15"/>
                <c:pt idx="0">
                  <c:v>25</c:v>
                </c:pt>
                <c:pt idx="1">
                  <c:v>25</c:v>
                </c:pt>
                <c:pt idx="2">
                  <c:v>33</c:v>
                </c:pt>
                <c:pt idx="3">
                  <c:v>50</c:v>
                </c:pt>
                <c:pt idx="4">
                  <c:v>39</c:v>
                </c:pt>
                <c:pt idx="5">
                  <c:v>26</c:v>
                </c:pt>
                <c:pt idx="6">
                  <c:v>31</c:v>
                </c:pt>
                <c:pt idx="7">
                  <c:v>25</c:v>
                </c:pt>
                <c:pt idx="8">
                  <c:v>31</c:v>
                </c:pt>
                <c:pt idx="9">
                  <c:v>28</c:v>
                </c:pt>
                <c:pt idx="10">
                  <c:v>42</c:v>
                </c:pt>
                <c:pt idx="11">
                  <c:v>33</c:v>
                </c:pt>
                <c:pt idx="12">
                  <c:v>36</c:v>
                </c:pt>
                <c:pt idx="13">
                  <c:v>40</c:v>
                </c:pt>
                <c:pt idx="14">
                  <c:v>39</c:v>
                </c:pt>
              </c:numCache>
            </c:numRef>
          </c:val>
          <c:extLst>
            <c:ext xmlns:c16="http://schemas.microsoft.com/office/drawing/2014/chart" uri="{C3380CC4-5D6E-409C-BE32-E72D297353CC}">
              <c16:uniqueId val="{00000000-890D-4639-A35D-1CAB76B0296E}"/>
            </c:ext>
          </c:extLst>
        </c:ser>
        <c:ser>
          <c:idx val="1"/>
          <c:order val="1"/>
          <c:tx>
            <c:strRef>
              <c:f>Conversion_Analysis!$C$2</c:f>
              <c:strCache>
                <c:ptCount val="1"/>
                <c:pt idx="0">
                  <c:v>Converted Enquiries</c:v>
                </c:pt>
              </c:strCache>
            </c:strRef>
          </c:tx>
          <c:spPr>
            <a:solidFill>
              <a:schemeClr val="accent2"/>
            </a:solidFill>
            <a:ln>
              <a:noFill/>
            </a:ln>
            <a:effectLst/>
          </c:spPr>
          <c:invertIfNegative val="0"/>
          <c:cat>
            <c:strRef>
              <c:f>Conversion_Analysis!$A$3:$A$17</c:f>
              <c:strCache>
                <c:ptCount val="15"/>
                <c:pt idx="0">
                  <c:v>Advanced Excel</c:v>
                </c:pt>
                <c:pt idx="1">
                  <c:v>AI &amp; Machine Learning</c:v>
                </c:pt>
                <c:pt idx="2">
                  <c:v>Basic Computer Course</c:v>
                </c:pt>
                <c:pt idx="3">
                  <c:v>Computer Typing</c:v>
                </c:pt>
                <c:pt idx="4">
                  <c:v>Data Analytics</c:v>
                </c:pt>
                <c:pt idx="5">
                  <c:v>Data Science</c:v>
                </c:pt>
                <c:pt idx="6">
                  <c:v>DCA</c:v>
                </c:pt>
                <c:pt idx="7">
                  <c:v>Digital Marketing</c:v>
                </c:pt>
                <c:pt idx="8">
                  <c:v>Full Stack Development</c:v>
                </c:pt>
                <c:pt idx="9">
                  <c:v>Graphic Designing</c:v>
                </c:pt>
                <c:pt idx="10">
                  <c:v>Python Programming</c:v>
                </c:pt>
                <c:pt idx="11">
                  <c:v>Tally with GST</c:v>
                </c:pt>
                <c:pt idx="12">
                  <c:v>Trading &amp; Financial Market Basics</c:v>
                </c:pt>
                <c:pt idx="13">
                  <c:v>Video Editing</c:v>
                </c:pt>
                <c:pt idx="14">
                  <c:v>Web Designing</c:v>
                </c:pt>
              </c:strCache>
            </c:strRef>
          </c:cat>
          <c:val>
            <c:numRef>
              <c:f>Conversion_Analysis!$C$3:$C$17</c:f>
              <c:numCache>
                <c:formatCode>General</c:formatCode>
                <c:ptCount val="15"/>
                <c:pt idx="0">
                  <c:v>7</c:v>
                </c:pt>
                <c:pt idx="1">
                  <c:v>9</c:v>
                </c:pt>
                <c:pt idx="2">
                  <c:v>10</c:v>
                </c:pt>
                <c:pt idx="3">
                  <c:v>19</c:v>
                </c:pt>
                <c:pt idx="4">
                  <c:v>14</c:v>
                </c:pt>
                <c:pt idx="5">
                  <c:v>11</c:v>
                </c:pt>
                <c:pt idx="6">
                  <c:v>7</c:v>
                </c:pt>
                <c:pt idx="7">
                  <c:v>9</c:v>
                </c:pt>
                <c:pt idx="8">
                  <c:v>8</c:v>
                </c:pt>
                <c:pt idx="9">
                  <c:v>10</c:v>
                </c:pt>
                <c:pt idx="10">
                  <c:v>15</c:v>
                </c:pt>
                <c:pt idx="11">
                  <c:v>5</c:v>
                </c:pt>
                <c:pt idx="12">
                  <c:v>17</c:v>
                </c:pt>
                <c:pt idx="13">
                  <c:v>15</c:v>
                </c:pt>
                <c:pt idx="14">
                  <c:v>17</c:v>
                </c:pt>
              </c:numCache>
            </c:numRef>
          </c:val>
          <c:extLst>
            <c:ext xmlns:c16="http://schemas.microsoft.com/office/drawing/2014/chart" uri="{C3380CC4-5D6E-409C-BE32-E72D297353CC}">
              <c16:uniqueId val="{00000001-890D-4639-A35D-1CAB76B0296E}"/>
            </c:ext>
          </c:extLst>
        </c:ser>
        <c:dLbls>
          <c:showLegendKey val="0"/>
          <c:showVal val="0"/>
          <c:showCatName val="0"/>
          <c:showSerName val="0"/>
          <c:showPercent val="0"/>
          <c:showBubbleSize val="0"/>
        </c:dLbls>
        <c:gapWidth val="219"/>
        <c:overlap val="-27"/>
        <c:axId val="190726511"/>
        <c:axId val="2123186864"/>
      </c:barChart>
      <c:lineChart>
        <c:grouping val="standard"/>
        <c:varyColors val="0"/>
        <c:ser>
          <c:idx val="2"/>
          <c:order val="2"/>
          <c:tx>
            <c:strRef>
              <c:f>Conversion_Analysis!$D$2</c:f>
              <c:strCache>
                <c:ptCount val="1"/>
                <c:pt idx="0">
                  <c:v>Conversion Rate</c:v>
                </c:pt>
              </c:strCache>
            </c:strRef>
          </c:tx>
          <c:spPr>
            <a:ln w="28575" cap="rnd">
              <a:solidFill>
                <a:schemeClr val="accent3"/>
              </a:solidFill>
              <a:round/>
            </a:ln>
            <a:effectLst/>
          </c:spPr>
          <c:marker>
            <c:symbol val="none"/>
          </c:marker>
          <c:cat>
            <c:strRef>
              <c:f>Conversion_Analysis!$A$3:$A$17</c:f>
              <c:strCache>
                <c:ptCount val="15"/>
                <c:pt idx="0">
                  <c:v>Advanced Excel</c:v>
                </c:pt>
                <c:pt idx="1">
                  <c:v>AI &amp; Machine Learning</c:v>
                </c:pt>
                <c:pt idx="2">
                  <c:v>Basic Computer Course</c:v>
                </c:pt>
                <c:pt idx="3">
                  <c:v>Computer Typing</c:v>
                </c:pt>
                <c:pt idx="4">
                  <c:v>Data Analytics</c:v>
                </c:pt>
                <c:pt idx="5">
                  <c:v>Data Science</c:v>
                </c:pt>
                <c:pt idx="6">
                  <c:v>DCA</c:v>
                </c:pt>
                <c:pt idx="7">
                  <c:v>Digital Marketing</c:v>
                </c:pt>
                <c:pt idx="8">
                  <c:v>Full Stack Development</c:v>
                </c:pt>
                <c:pt idx="9">
                  <c:v>Graphic Designing</c:v>
                </c:pt>
                <c:pt idx="10">
                  <c:v>Python Programming</c:v>
                </c:pt>
                <c:pt idx="11">
                  <c:v>Tally with GST</c:v>
                </c:pt>
                <c:pt idx="12">
                  <c:v>Trading &amp; Financial Market Basics</c:v>
                </c:pt>
                <c:pt idx="13">
                  <c:v>Video Editing</c:v>
                </c:pt>
                <c:pt idx="14">
                  <c:v>Web Designing</c:v>
                </c:pt>
              </c:strCache>
            </c:strRef>
          </c:cat>
          <c:val>
            <c:numRef>
              <c:f>Conversion_Analysis!$D$3:$D$17</c:f>
              <c:numCache>
                <c:formatCode>0.00%</c:formatCode>
                <c:ptCount val="15"/>
                <c:pt idx="0">
                  <c:v>0.28000000000000003</c:v>
                </c:pt>
                <c:pt idx="1">
                  <c:v>0.36</c:v>
                </c:pt>
                <c:pt idx="2">
                  <c:v>0.30303030303030304</c:v>
                </c:pt>
                <c:pt idx="3">
                  <c:v>0.38</c:v>
                </c:pt>
                <c:pt idx="4">
                  <c:v>0.35897435897435898</c:v>
                </c:pt>
                <c:pt idx="5">
                  <c:v>0.42307692307692307</c:v>
                </c:pt>
                <c:pt idx="6">
                  <c:v>0.22580645161290322</c:v>
                </c:pt>
                <c:pt idx="7">
                  <c:v>0.36</c:v>
                </c:pt>
                <c:pt idx="8">
                  <c:v>0.25806451612903225</c:v>
                </c:pt>
                <c:pt idx="9">
                  <c:v>0.35714285714285715</c:v>
                </c:pt>
                <c:pt idx="10">
                  <c:v>0.35714285714285715</c:v>
                </c:pt>
                <c:pt idx="11">
                  <c:v>0.15151515151515152</c:v>
                </c:pt>
                <c:pt idx="12">
                  <c:v>0.47222222222222221</c:v>
                </c:pt>
                <c:pt idx="13">
                  <c:v>0.375</c:v>
                </c:pt>
                <c:pt idx="14">
                  <c:v>0.4358974358974359</c:v>
                </c:pt>
              </c:numCache>
            </c:numRef>
          </c:val>
          <c:smooth val="0"/>
          <c:extLst>
            <c:ext xmlns:c16="http://schemas.microsoft.com/office/drawing/2014/chart" uri="{C3380CC4-5D6E-409C-BE32-E72D297353CC}">
              <c16:uniqueId val="{00000002-890D-4639-A35D-1CAB76B0296E}"/>
            </c:ext>
          </c:extLst>
        </c:ser>
        <c:dLbls>
          <c:showLegendKey val="0"/>
          <c:showVal val="0"/>
          <c:showCatName val="0"/>
          <c:showSerName val="0"/>
          <c:showPercent val="0"/>
          <c:showBubbleSize val="0"/>
        </c:dLbls>
        <c:marker val="1"/>
        <c:smooth val="0"/>
        <c:axId val="190678255"/>
        <c:axId val="2123188304"/>
      </c:lineChart>
      <c:catAx>
        <c:axId val="19072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86864"/>
        <c:crosses val="autoZero"/>
        <c:auto val="1"/>
        <c:lblAlgn val="ctr"/>
        <c:lblOffset val="100"/>
        <c:noMultiLvlLbl val="0"/>
      </c:catAx>
      <c:valAx>
        <c:axId val="212318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26511"/>
        <c:crosses val="autoZero"/>
        <c:crossBetween val="between"/>
      </c:valAx>
      <c:valAx>
        <c:axId val="21231883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78255"/>
        <c:crosses val="max"/>
        <c:crossBetween val="between"/>
      </c:valAx>
      <c:catAx>
        <c:axId val="190678255"/>
        <c:scaling>
          <c:orientation val="minMax"/>
        </c:scaling>
        <c:delete val="1"/>
        <c:axPos val="b"/>
        <c:numFmt formatCode="General" sourceLinked="1"/>
        <c:majorTickMark val="out"/>
        <c:minorTickMark val="none"/>
        <c:tickLblPos val="nextTo"/>
        <c:crossAx val="21231883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Enquiry Status Overview</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Enquiry_Analysis!$A$6:$A$10</c:f>
              <c:strCache>
                <c:ptCount val="5"/>
                <c:pt idx="0">
                  <c:v>New Enquiries</c:v>
                </c:pt>
                <c:pt idx="1">
                  <c:v>Interested Enquiries</c:v>
                </c:pt>
                <c:pt idx="2">
                  <c:v>Follow-up Enquiries</c:v>
                </c:pt>
                <c:pt idx="3">
                  <c:v>Contacted Enquiries</c:v>
                </c:pt>
                <c:pt idx="4">
                  <c:v>Lost Enquiries</c:v>
                </c:pt>
              </c:strCache>
            </c:strRef>
          </c:cat>
          <c:val>
            <c:numRef>
              <c:f>Enquiry_Analysis!$B$6:$B$10</c:f>
              <c:numCache>
                <c:formatCode>General</c:formatCode>
                <c:ptCount val="5"/>
                <c:pt idx="0">
                  <c:v>60</c:v>
                </c:pt>
                <c:pt idx="1">
                  <c:v>90</c:v>
                </c:pt>
                <c:pt idx="2">
                  <c:v>80</c:v>
                </c:pt>
                <c:pt idx="3">
                  <c:v>70</c:v>
                </c:pt>
                <c:pt idx="4">
                  <c:v>30</c:v>
                </c:pt>
              </c:numCache>
            </c:numRef>
          </c:val>
          <c:extLst>
            <c:ext xmlns:c16="http://schemas.microsoft.com/office/drawing/2014/chart" uri="{C3380CC4-5D6E-409C-BE32-E72D297353CC}">
              <c16:uniqueId val="{00000000-8355-44F0-B506-FA1C29BA9B0D}"/>
            </c:ext>
          </c:extLst>
        </c:ser>
        <c:dLbls>
          <c:dLblPos val="outEnd"/>
          <c:showLegendKey val="0"/>
          <c:showVal val="1"/>
          <c:showCatName val="0"/>
          <c:showSerName val="0"/>
          <c:showPercent val="0"/>
          <c:showBubbleSize val="0"/>
        </c:dLbls>
        <c:gapWidth val="219"/>
        <c:overlap val="-27"/>
        <c:axId val="108095840"/>
        <c:axId val="131982288"/>
      </c:barChart>
      <c:catAx>
        <c:axId val="10809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82288"/>
        <c:crosses val="autoZero"/>
        <c:auto val="1"/>
        <c:lblAlgn val="ctr"/>
        <c:lblOffset val="100"/>
        <c:noMultiLvlLbl val="0"/>
      </c:catAx>
      <c:valAx>
        <c:axId val="13198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9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Enquiries by Data Source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0"/>
          <c:order val="0"/>
          <c:spPr>
            <a:solidFill>
              <a:schemeClr val="accent1">
                <a:lumMod val="75000"/>
              </a:schemeClr>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0CE9-41B6-9B7E-BA84E0805E7E}"/>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0CE9-41B6-9B7E-BA84E0805E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Enquiry_Analysis!$A$11:$A$12</c:f>
              <c:strCache>
                <c:ptCount val="2"/>
                <c:pt idx="0">
                  <c:v>Live Enquiries</c:v>
                </c:pt>
                <c:pt idx="1">
                  <c:v>Synthetic Enquiries</c:v>
                </c:pt>
              </c:strCache>
            </c:strRef>
          </c:cat>
          <c:val>
            <c:numRef>
              <c:f>Enquiry_Analysis!$B$11:$B$12</c:f>
              <c:numCache>
                <c:formatCode>General</c:formatCode>
                <c:ptCount val="2"/>
                <c:pt idx="0">
                  <c:v>3</c:v>
                </c:pt>
                <c:pt idx="1">
                  <c:v>500</c:v>
                </c:pt>
              </c:numCache>
            </c:numRef>
          </c:val>
          <c:extLst>
            <c:ext xmlns:c16="http://schemas.microsoft.com/office/drawing/2014/chart" uri="{C3380CC4-5D6E-409C-BE32-E72D297353CC}">
              <c16:uniqueId val="{00000000-47DC-497B-92CC-BFFA30A2832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[Institute_Enquiry_Enrollment_Analytics.xlsx]Pivot_Analysis!PT_Course_Demand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Course-wise Enquiry Demand</a:t>
            </a:r>
          </a:p>
          <a:p>
            <a:pPr>
              <a:defRPr/>
            </a:pPr>
            <a:endParaRPr lang="en-IN"/>
          </a:p>
        </c:rich>
      </c:tx>
      <c:layout>
        <c:manualLayout>
          <c:xMode val="edge"/>
          <c:yMode val="edge"/>
          <c:x val="0.16021704592428793"/>
          <c:y val="3.54789905405470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34911622764419"/>
          <c:y val="0.22688476095184237"/>
          <c:w val="0.46251617315441201"/>
          <c:h val="0.65526215300435509"/>
        </c:manualLayout>
      </c:layout>
      <c:barChart>
        <c:barDir val="bar"/>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Pivot_Analysis!$A$4:$A$19</c:f>
              <c:strCache>
                <c:ptCount val="15"/>
                <c:pt idx="0">
                  <c:v>Computer Typing</c:v>
                </c:pt>
                <c:pt idx="1">
                  <c:v>Python Programming</c:v>
                </c:pt>
                <c:pt idx="2">
                  <c:v>Video Editing</c:v>
                </c:pt>
                <c:pt idx="3">
                  <c:v>Data Analytics</c:v>
                </c:pt>
                <c:pt idx="4">
                  <c:v>Web Designing</c:v>
                </c:pt>
                <c:pt idx="5">
                  <c:v>Trading &amp; Financial Market Basics</c:v>
                </c:pt>
                <c:pt idx="6">
                  <c:v>Tally with GST</c:v>
                </c:pt>
                <c:pt idx="7">
                  <c:v>Basic Computer Course</c:v>
                </c:pt>
                <c:pt idx="8">
                  <c:v>Full Stack Development</c:v>
                </c:pt>
                <c:pt idx="9">
                  <c:v>DCA</c:v>
                </c:pt>
                <c:pt idx="10">
                  <c:v>Graphic Designing</c:v>
                </c:pt>
                <c:pt idx="11">
                  <c:v>Data Science</c:v>
                </c:pt>
                <c:pt idx="12">
                  <c:v>AI &amp; Machine Learning</c:v>
                </c:pt>
                <c:pt idx="13">
                  <c:v>Advanced Excel</c:v>
                </c:pt>
                <c:pt idx="14">
                  <c:v>Digital Marketing</c:v>
                </c:pt>
              </c:strCache>
            </c:strRef>
          </c:cat>
          <c:val>
            <c:numRef>
              <c:f>Pivot_Analysis!$B$4:$B$19</c:f>
              <c:numCache>
                <c:formatCode>General</c:formatCode>
                <c:ptCount val="15"/>
                <c:pt idx="0">
                  <c:v>50</c:v>
                </c:pt>
                <c:pt idx="1">
                  <c:v>42</c:v>
                </c:pt>
                <c:pt idx="2">
                  <c:v>40</c:v>
                </c:pt>
                <c:pt idx="3">
                  <c:v>39</c:v>
                </c:pt>
                <c:pt idx="4">
                  <c:v>39</c:v>
                </c:pt>
                <c:pt idx="5">
                  <c:v>36</c:v>
                </c:pt>
                <c:pt idx="6">
                  <c:v>33</c:v>
                </c:pt>
                <c:pt idx="7">
                  <c:v>33</c:v>
                </c:pt>
                <c:pt idx="8">
                  <c:v>31</c:v>
                </c:pt>
                <c:pt idx="9">
                  <c:v>31</c:v>
                </c:pt>
                <c:pt idx="10">
                  <c:v>28</c:v>
                </c:pt>
                <c:pt idx="11">
                  <c:v>26</c:v>
                </c:pt>
                <c:pt idx="12">
                  <c:v>25</c:v>
                </c:pt>
                <c:pt idx="13">
                  <c:v>25</c:v>
                </c:pt>
                <c:pt idx="14">
                  <c:v>25</c:v>
                </c:pt>
              </c:numCache>
            </c:numRef>
          </c:val>
          <c:extLst>
            <c:ext xmlns:c16="http://schemas.microsoft.com/office/drawing/2014/chart" uri="{C3380CC4-5D6E-409C-BE32-E72D297353CC}">
              <c16:uniqueId val="{00000000-29D1-4ECE-BDCB-8AD70D54BB0A}"/>
            </c:ext>
          </c:extLst>
        </c:ser>
        <c:dLbls>
          <c:showLegendKey val="0"/>
          <c:showVal val="0"/>
          <c:showCatName val="0"/>
          <c:showSerName val="0"/>
          <c:showPercent val="0"/>
          <c:showBubbleSize val="0"/>
        </c:dLbls>
        <c:gapWidth val="182"/>
        <c:axId val="797875568"/>
        <c:axId val="743158608"/>
      </c:barChart>
      <c:catAx>
        <c:axId val="79787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58608"/>
        <c:crosses val="autoZero"/>
        <c:auto val="1"/>
        <c:lblAlgn val="ctr"/>
        <c:lblOffset val="100"/>
        <c:noMultiLvlLbl val="0"/>
      </c:catAx>
      <c:valAx>
        <c:axId val="743158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87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[Institute_Enquiry_Enrollment_Analytics.xlsx]Pivot_Analysis!PT_Learning_Mode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Enquiries by Learning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doughnutChart>
        <c:varyColors val="1"/>
        <c:ser>
          <c:idx val="0"/>
          <c:order val="0"/>
          <c:tx>
            <c:strRef>
              <c:f>Pivot_Analysis!$F$3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7A2-444C-AA60-0B5434E0F7FC}"/>
              </c:ext>
            </c:extLst>
          </c:dPt>
          <c:dPt>
            <c:idx val="1"/>
            <c:bubble3D val="0"/>
            <c:spPr>
              <a:solidFill>
                <a:schemeClr val="accent2"/>
              </a:solidFill>
              <a:ln>
                <a:noFill/>
              </a:ln>
              <a:effectLst/>
            </c:spPr>
            <c:extLst>
              <c:ext xmlns:c16="http://schemas.microsoft.com/office/drawing/2014/chart" uri="{C3380CC4-5D6E-409C-BE32-E72D297353CC}">
                <c16:uniqueId val="{00000003-27A2-444C-AA60-0B5434E0F7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Pivot_Analysis!$E$4:$E$6</c:f>
              <c:strCache>
                <c:ptCount val="2"/>
                <c:pt idx="0">
                  <c:v>Offline</c:v>
                </c:pt>
                <c:pt idx="1">
                  <c:v>Online</c:v>
                </c:pt>
              </c:strCache>
            </c:strRef>
          </c:cat>
          <c:val>
            <c:numRef>
              <c:f>Pivot_Analysis!$F$4:$F$6</c:f>
              <c:numCache>
                <c:formatCode>General</c:formatCode>
                <c:ptCount val="2"/>
                <c:pt idx="0">
                  <c:v>324</c:v>
                </c:pt>
                <c:pt idx="1">
                  <c:v>179</c:v>
                </c:pt>
              </c:numCache>
            </c:numRef>
          </c:val>
          <c:extLst>
            <c:ext xmlns:c16="http://schemas.microsoft.com/office/drawing/2014/chart" uri="{C3380CC4-5D6E-409C-BE32-E72D297353CC}">
              <c16:uniqueId val="{00000000-6D12-4D9F-994C-BFC32CB42C96}"/>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[Institute_Enquiry_Enrollment_Analytics.xlsx]Pivot_Analysis!PT_Status_Distribution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Enquiry Status Distribution</a:t>
            </a:r>
            <a:endParaRPr lang="en-IN"/>
          </a:p>
        </c:rich>
      </c:tx>
      <c:layout>
        <c:manualLayout>
          <c:xMode val="edge"/>
          <c:yMode val="edge"/>
          <c:x val="0.24684534625479507"/>
          <c:y val="5.16615296305077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52138523170438E-2"/>
          <c:y val="0.20005033047572696"/>
          <c:w val="0.86663585068060822"/>
          <c:h val="0.57291430092633033"/>
        </c:manualLayout>
      </c:layout>
      <c:barChart>
        <c:barDir val="col"/>
        <c:grouping val="clustered"/>
        <c:varyColors val="0"/>
        <c:ser>
          <c:idx val="0"/>
          <c:order val="0"/>
          <c:tx>
            <c:strRef>
              <c:f>Pivot_Analysis!$J$3</c:f>
              <c:strCache>
                <c:ptCount val="1"/>
                <c:pt idx="0">
                  <c:v>Total</c:v>
                </c:pt>
              </c:strCache>
            </c:strRef>
          </c:tx>
          <c:spPr>
            <a:solidFill>
              <a:schemeClr val="accent1"/>
            </a:solidFill>
            <a:ln>
              <a:noFill/>
            </a:ln>
            <a:effectLst/>
          </c:spPr>
          <c:invertIfNegative val="0"/>
          <c:cat>
            <c:strRef>
              <c:f>Pivot_Analysis!$I$4:$I$10</c:f>
              <c:strCache>
                <c:ptCount val="6"/>
                <c:pt idx="0">
                  <c:v>Contacted</c:v>
                </c:pt>
                <c:pt idx="1">
                  <c:v>Converted</c:v>
                </c:pt>
                <c:pt idx="2">
                  <c:v>Follow-up</c:v>
                </c:pt>
                <c:pt idx="3">
                  <c:v>Interested</c:v>
                </c:pt>
                <c:pt idx="4">
                  <c:v>Lost</c:v>
                </c:pt>
                <c:pt idx="5">
                  <c:v>New</c:v>
                </c:pt>
              </c:strCache>
            </c:strRef>
          </c:cat>
          <c:val>
            <c:numRef>
              <c:f>Pivot_Analysis!$J$4:$J$10</c:f>
              <c:numCache>
                <c:formatCode>General</c:formatCode>
                <c:ptCount val="6"/>
                <c:pt idx="0">
                  <c:v>70</c:v>
                </c:pt>
                <c:pt idx="1">
                  <c:v>173</c:v>
                </c:pt>
                <c:pt idx="2">
                  <c:v>80</c:v>
                </c:pt>
                <c:pt idx="3">
                  <c:v>90</c:v>
                </c:pt>
                <c:pt idx="4">
                  <c:v>30</c:v>
                </c:pt>
                <c:pt idx="5">
                  <c:v>60</c:v>
                </c:pt>
              </c:numCache>
            </c:numRef>
          </c:val>
          <c:extLst>
            <c:ext xmlns:c16="http://schemas.microsoft.com/office/drawing/2014/chart" uri="{C3380CC4-5D6E-409C-BE32-E72D297353CC}">
              <c16:uniqueId val="{00000000-8F7A-4CB2-A853-68BD90A47D95}"/>
            </c:ext>
          </c:extLst>
        </c:ser>
        <c:dLbls>
          <c:showLegendKey val="0"/>
          <c:showVal val="0"/>
          <c:showCatName val="0"/>
          <c:showSerName val="0"/>
          <c:showPercent val="0"/>
          <c:showBubbleSize val="0"/>
        </c:dLbls>
        <c:gapWidth val="219"/>
        <c:overlap val="-27"/>
        <c:axId val="1156521696"/>
        <c:axId val="743203248"/>
      </c:barChart>
      <c:catAx>
        <c:axId val="11565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203248"/>
        <c:crosses val="autoZero"/>
        <c:auto val="1"/>
        <c:lblAlgn val="ctr"/>
        <c:lblOffset val="100"/>
        <c:noMultiLvlLbl val="0"/>
      </c:catAx>
      <c:valAx>
        <c:axId val="74320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2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[Institute_Enquiry_Enrollment_Analytics.xlsx]Pivot_Analysis!PT_Lead_Source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Enquiries by Lead Source</a:t>
            </a:r>
          </a:p>
          <a:p>
            <a:pPr>
              <a:defRPr/>
            </a:pPr>
            <a:endParaRPr lang="en-IN"/>
          </a:p>
        </c:rich>
      </c:tx>
      <c:layout>
        <c:manualLayout>
          <c:xMode val="edge"/>
          <c:yMode val="edge"/>
          <c:x val="0.15095961219133322"/>
          <c:y val="3.55241390280760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Pivot_Analysis!$O$3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A19-4DE9-87AE-E60721B40B41}"/>
              </c:ext>
            </c:extLst>
          </c:dPt>
          <c:dPt>
            <c:idx val="1"/>
            <c:bubble3D val="0"/>
            <c:spPr>
              <a:solidFill>
                <a:schemeClr val="accent2"/>
              </a:solidFill>
              <a:ln>
                <a:noFill/>
              </a:ln>
              <a:effectLst/>
            </c:spPr>
            <c:extLst>
              <c:ext xmlns:c16="http://schemas.microsoft.com/office/drawing/2014/chart" uri="{C3380CC4-5D6E-409C-BE32-E72D297353CC}">
                <c16:uniqueId val="{00000003-CA19-4DE9-87AE-E60721B40B41}"/>
              </c:ext>
            </c:extLst>
          </c:dPt>
          <c:dPt>
            <c:idx val="2"/>
            <c:bubble3D val="0"/>
            <c:spPr>
              <a:solidFill>
                <a:schemeClr val="accent3"/>
              </a:solidFill>
              <a:ln>
                <a:noFill/>
              </a:ln>
              <a:effectLst/>
            </c:spPr>
            <c:extLst>
              <c:ext xmlns:c16="http://schemas.microsoft.com/office/drawing/2014/chart" uri="{C3380CC4-5D6E-409C-BE32-E72D297353CC}">
                <c16:uniqueId val="{00000005-CA19-4DE9-87AE-E60721B40B41}"/>
              </c:ext>
            </c:extLst>
          </c:dPt>
          <c:dPt>
            <c:idx val="3"/>
            <c:bubble3D val="0"/>
            <c:spPr>
              <a:solidFill>
                <a:schemeClr val="accent4"/>
              </a:solidFill>
              <a:ln>
                <a:noFill/>
              </a:ln>
              <a:effectLst/>
            </c:spPr>
            <c:extLst>
              <c:ext xmlns:c16="http://schemas.microsoft.com/office/drawing/2014/chart" uri="{C3380CC4-5D6E-409C-BE32-E72D297353CC}">
                <c16:uniqueId val="{00000007-CA19-4DE9-87AE-E60721B40B41}"/>
              </c:ext>
            </c:extLst>
          </c:dPt>
          <c:dPt>
            <c:idx val="4"/>
            <c:bubble3D val="0"/>
            <c:spPr>
              <a:solidFill>
                <a:schemeClr val="accent5"/>
              </a:solidFill>
              <a:ln>
                <a:noFill/>
              </a:ln>
              <a:effectLst/>
            </c:spPr>
            <c:extLst>
              <c:ext xmlns:c16="http://schemas.microsoft.com/office/drawing/2014/chart" uri="{C3380CC4-5D6E-409C-BE32-E72D297353CC}">
                <c16:uniqueId val="{00000009-CA19-4DE9-87AE-E60721B40B41}"/>
              </c:ext>
            </c:extLst>
          </c:dPt>
          <c:dPt>
            <c:idx val="5"/>
            <c:bubble3D val="0"/>
            <c:spPr>
              <a:solidFill>
                <a:schemeClr val="accent6"/>
              </a:solidFill>
              <a:ln>
                <a:noFill/>
              </a:ln>
              <a:effectLst/>
            </c:spPr>
            <c:extLst>
              <c:ext xmlns:c16="http://schemas.microsoft.com/office/drawing/2014/chart" uri="{C3380CC4-5D6E-409C-BE32-E72D297353CC}">
                <c16:uniqueId val="{0000000B-CA19-4DE9-87AE-E60721B40B4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CA19-4DE9-87AE-E60721B40B4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CA19-4DE9-87AE-E60721B40B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Pivot_Analysis!$N$4:$N$12</c:f>
              <c:strCache>
                <c:ptCount val="8"/>
                <c:pt idx="0">
                  <c:v>Google Search</c:v>
                </c:pt>
                <c:pt idx="1">
                  <c:v>Instagram</c:v>
                </c:pt>
                <c:pt idx="2">
                  <c:v>Referral</c:v>
                </c:pt>
                <c:pt idx="3">
                  <c:v>Walk-in</c:v>
                </c:pt>
                <c:pt idx="4">
                  <c:v>Facebook</c:v>
                </c:pt>
                <c:pt idx="5">
                  <c:v>YouTube</c:v>
                </c:pt>
                <c:pt idx="6">
                  <c:v>LinkedIn</c:v>
                </c:pt>
                <c:pt idx="7">
                  <c:v>Other</c:v>
                </c:pt>
              </c:strCache>
            </c:strRef>
          </c:cat>
          <c:val>
            <c:numRef>
              <c:f>Pivot_Analysis!$O$4:$O$12</c:f>
              <c:numCache>
                <c:formatCode>General</c:formatCode>
                <c:ptCount val="8"/>
                <c:pt idx="0">
                  <c:v>121</c:v>
                </c:pt>
                <c:pt idx="1">
                  <c:v>116</c:v>
                </c:pt>
                <c:pt idx="2">
                  <c:v>73</c:v>
                </c:pt>
                <c:pt idx="3">
                  <c:v>56</c:v>
                </c:pt>
                <c:pt idx="4">
                  <c:v>45</c:v>
                </c:pt>
                <c:pt idx="5">
                  <c:v>40</c:v>
                </c:pt>
                <c:pt idx="6">
                  <c:v>28</c:v>
                </c:pt>
                <c:pt idx="7">
                  <c:v>24</c:v>
                </c:pt>
              </c:numCache>
            </c:numRef>
          </c:val>
          <c:extLst>
            <c:ext xmlns:c16="http://schemas.microsoft.com/office/drawing/2014/chart" uri="{C3380CC4-5D6E-409C-BE32-E72D297353CC}">
              <c16:uniqueId val="{00000000-F362-468F-9DD3-92D82B143A24}"/>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[Institute_Enquiry_Enrollment_Analytics.xlsx]Pivot_Analysis!PT_Monthly_Trend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Enquiry Trend</a:t>
            </a:r>
          </a:p>
          <a:p>
            <a:pPr>
              <a:defRPr/>
            </a:pPr>
            <a:endParaRPr lang="en-US"/>
          </a:p>
        </c:rich>
      </c:tx>
      <c:layout>
        <c:manualLayout>
          <c:xMode val="edge"/>
          <c:yMode val="edge"/>
          <c:x val="0.32896911395249906"/>
          <c:y val="5.69902538406475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20884201401433E-2"/>
          <c:y val="0.22824261453299646"/>
          <c:w val="0.89829175596169741"/>
          <c:h val="0.22279090113735783"/>
        </c:manualLayout>
      </c:layout>
      <c:lineChart>
        <c:grouping val="standard"/>
        <c:varyColors val="0"/>
        <c:ser>
          <c:idx val="0"/>
          <c:order val="0"/>
          <c:tx>
            <c:strRef>
              <c:f>Pivot_Analysis!$S$3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Pivot_Analysis!$R$4:$R$48</c:f>
              <c:multiLvlStrCache>
                <c:ptCount val="21"/>
                <c:lvl>
                  <c:pt idx="0">
                    <c:v>January-2025</c:v>
                  </c:pt>
                  <c:pt idx="1">
                    <c:v>February-2025</c:v>
                  </c:pt>
                  <c:pt idx="2">
                    <c:v>March-2025</c:v>
                  </c:pt>
                  <c:pt idx="3">
                    <c:v>April-2025</c:v>
                  </c:pt>
                  <c:pt idx="4">
                    <c:v>May-2025</c:v>
                  </c:pt>
                  <c:pt idx="5">
                    <c:v>June-2025</c:v>
                  </c:pt>
                  <c:pt idx="6">
                    <c:v>July-2025</c:v>
                  </c:pt>
                  <c:pt idx="7">
                    <c:v>August-2025</c:v>
                  </c:pt>
                  <c:pt idx="8">
                    <c:v>September-2025</c:v>
                  </c:pt>
                  <c:pt idx="9">
                    <c:v>October-2025</c:v>
                  </c:pt>
                  <c:pt idx="10">
                    <c:v>November-2025</c:v>
                  </c:pt>
                  <c:pt idx="11">
                    <c:v>December-2025</c:v>
                  </c:pt>
                  <c:pt idx="12">
                    <c:v>January-2026</c:v>
                  </c:pt>
                  <c:pt idx="13">
                    <c:v>February-2026</c:v>
                  </c:pt>
                  <c:pt idx="14">
                    <c:v>March-2026</c:v>
                  </c:pt>
                  <c:pt idx="15">
                    <c:v>April-2026</c:v>
                  </c:pt>
                  <c:pt idx="16">
                    <c:v>May-2026</c:v>
                  </c:pt>
                  <c:pt idx="17">
                    <c:v>June-2026</c:v>
                  </c:pt>
                  <c:pt idx="18">
                    <c:v>July-2026</c:v>
                  </c:pt>
                  <c:pt idx="19">
                    <c:v>August-2026</c:v>
                  </c:pt>
                  <c:pt idx="20">
                    <c:v>September-2026</c:v>
                  </c:pt>
                </c:lvl>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lvl>
                <c:lvl>
                  <c:pt idx="0">
                    <c:v>2025</c:v>
                  </c:pt>
                  <c:pt idx="12">
                    <c:v>2026</c:v>
                  </c:pt>
                </c:lvl>
              </c:multiLvlStrCache>
            </c:multiLvlStrRef>
          </c:cat>
          <c:val>
            <c:numRef>
              <c:f>Pivot_Analysis!$S$4:$S$48</c:f>
              <c:numCache>
                <c:formatCode>General</c:formatCode>
                <c:ptCount val="21"/>
                <c:pt idx="0">
                  <c:v>20</c:v>
                </c:pt>
                <c:pt idx="1">
                  <c:v>17</c:v>
                </c:pt>
                <c:pt idx="2">
                  <c:v>26</c:v>
                </c:pt>
                <c:pt idx="3">
                  <c:v>22</c:v>
                </c:pt>
                <c:pt idx="4">
                  <c:v>29</c:v>
                </c:pt>
                <c:pt idx="5">
                  <c:v>25</c:v>
                </c:pt>
                <c:pt idx="6">
                  <c:v>24</c:v>
                </c:pt>
                <c:pt idx="7">
                  <c:v>19</c:v>
                </c:pt>
                <c:pt idx="8">
                  <c:v>23</c:v>
                </c:pt>
                <c:pt idx="9">
                  <c:v>30</c:v>
                </c:pt>
                <c:pt idx="10">
                  <c:v>15</c:v>
                </c:pt>
                <c:pt idx="11">
                  <c:v>25</c:v>
                </c:pt>
                <c:pt idx="12">
                  <c:v>25</c:v>
                </c:pt>
                <c:pt idx="13">
                  <c:v>27</c:v>
                </c:pt>
                <c:pt idx="14">
                  <c:v>22</c:v>
                </c:pt>
                <c:pt idx="15">
                  <c:v>22</c:v>
                </c:pt>
                <c:pt idx="16">
                  <c:v>31</c:v>
                </c:pt>
                <c:pt idx="17">
                  <c:v>27</c:v>
                </c:pt>
                <c:pt idx="18">
                  <c:v>23</c:v>
                </c:pt>
                <c:pt idx="19">
                  <c:v>31</c:v>
                </c:pt>
                <c:pt idx="20">
                  <c:v>20</c:v>
                </c:pt>
              </c:numCache>
            </c:numRef>
          </c:val>
          <c:smooth val="0"/>
          <c:extLst>
            <c:ext xmlns:c16="http://schemas.microsoft.com/office/drawing/2014/chart" uri="{C3380CC4-5D6E-409C-BE32-E72D297353CC}">
              <c16:uniqueId val="{00000000-5621-4BA9-A98F-19C2DBF4B20A}"/>
            </c:ext>
          </c:extLst>
        </c:ser>
        <c:dLbls>
          <c:showLegendKey val="0"/>
          <c:showVal val="0"/>
          <c:showCatName val="0"/>
          <c:showSerName val="0"/>
          <c:showPercent val="0"/>
          <c:showBubbleSize val="0"/>
        </c:dLbls>
        <c:marker val="1"/>
        <c:smooth val="0"/>
        <c:axId val="2049380608"/>
        <c:axId val="2123184464"/>
      </c:lineChart>
      <c:catAx>
        <c:axId val="204938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84464"/>
        <c:crosses val="autoZero"/>
        <c:auto val="1"/>
        <c:lblAlgn val="ctr"/>
        <c:lblOffset val="100"/>
        <c:noMultiLvlLbl val="0"/>
      </c:catAx>
      <c:valAx>
        <c:axId val="212318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38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[Institute_Enquiry_Enrollment_Analytics.xlsx]Pivot_Analysis!PT_City_Distribution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City-wise Enquiry Distribution</a:t>
            </a:r>
            <a:endParaRPr lang="en-IN"/>
          </a:p>
        </c:rich>
      </c:tx>
      <c:layout>
        <c:manualLayout>
          <c:xMode val="edge"/>
          <c:yMode val="edge"/>
          <c:x val="0.27857633420822397"/>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23775763089374"/>
          <c:y val="0.18481955860934657"/>
          <c:w val="0.62510221580868131"/>
          <c:h val="0.70196293179311586"/>
        </c:manualLayout>
      </c:layout>
      <c:barChart>
        <c:barDir val="bar"/>
        <c:grouping val="clustered"/>
        <c:varyColors val="0"/>
        <c:ser>
          <c:idx val="0"/>
          <c:order val="0"/>
          <c:tx>
            <c:strRef>
              <c:f>Pivot_Analysis!$V$3</c:f>
              <c:strCache>
                <c:ptCount val="1"/>
                <c:pt idx="0">
                  <c:v>Total</c:v>
                </c:pt>
              </c:strCache>
            </c:strRef>
          </c:tx>
          <c:spPr>
            <a:solidFill>
              <a:schemeClr val="accent1"/>
            </a:solidFill>
            <a:ln>
              <a:noFill/>
            </a:ln>
            <a:effectLst/>
          </c:spPr>
          <c:invertIfNegative val="0"/>
          <c:cat>
            <c:strRef>
              <c:f>Pivot_Analysis!$U$4:$U$15</c:f>
              <c:strCache>
                <c:ptCount val="11"/>
                <c:pt idx="0">
                  <c:v>Karnal</c:v>
                </c:pt>
                <c:pt idx="1">
                  <c:v>Sonipat</c:v>
                </c:pt>
                <c:pt idx="2">
                  <c:v>Noida</c:v>
                </c:pt>
                <c:pt idx="3">
                  <c:v>Faridabad</c:v>
                </c:pt>
                <c:pt idx="4">
                  <c:v>Panipat</c:v>
                </c:pt>
                <c:pt idx="5">
                  <c:v>Bahadurgarh</c:v>
                </c:pt>
                <c:pt idx="6">
                  <c:v>Delhi</c:v>
                </c:pt>
                <c:pt idx="7">
                  <c:v>Gurugram</c:v>
                </c:pt>
                <c:pt idx="8">
                  <c:v>Ghaziabad</c:v>
                </c:pt>
                <c:pt idx="9">
                  <c:v>Rohtak</c:v>
                </c:pt>
                <c:pt idx="10">
                  <c:v>Sonepat</c:v>
                </c:pt>
              </c:strCache>
            </c:strRef>
          </c:cat>
          <c:val>
            <c:numRef>
              <c:f>Pivot_Analysis!$V$4:$V$15</c:f>
              <c:numCache>
                <c:formatCode>General</c:formatCode>
                <c:ptCount val="11"/>
                <c:pt idx="0">
                  <c:v>61</c:v>
                </c:pt>
                <c:pt idx="1">
                  <c:v>60</c:v>
                </c:pt>
                <c:pt idx="2">
                  <c:v>54</c:v>
                </c:pt>
                <c:pt idx="3">
                  <c:v>54</c:v>
                </c:pt>
                <c:pt idx="4">
                  <c:v>52</c:v>
                </c:pt>
                <c:pt idx="5">
                  <c:v>49</c:v>
                </c:pt>
                <c:pt idx="6">
                  <c:v>46</c:v>
                </c:pt>
                <c:pt idx="7">
                  <c:v>46</c:v>
                </c:pt>
                <c:pt idx="8">
                  <c:v>43</c:v>
                </c:pt>
                <c:pt idx="9">
                  <c:v>37</c:v>
                </c:pt>
                <c:pt idx="10">
                  <c:v>1</c:v>
                </c:pt>
              </c:numCache>
            </c:numRef>
          </c:val>
          <c:extLst>
            <c:ext xmlns:c16="http://schemas.microsoft.com/office/drawing/2014/chart" uri="{C3380CC4-5D6E-409C-BE32-E72D297353CC}">
              <c16:uniqueId val="{00000000-E033-4F0F-BC3B-82AF309C3A5C}"/>
            </c:ext>
          </c:extLst>
        </c:ser>
        <c:dLbls>
          <c:showLegendKey val="0"/>
          <c:showVal val="0"/>
          <c:showCatName val="0"/>
          <c:showSerName val="0"/>
          <c:showPercent val="0"/>
          <c:showBubbleSize val="0"/>
        </c:dLbls>
        <c:gapWidth val="182"/>
        <c:axId val="175923023"/>
        <c:axId val="743161008"/>
      </c:barChart>
      <c:catAx>
        <c:axId val="17592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61008"/>
        <c:crosses val="autoZero"/>
        <c:auto val="1"/>
        <c:lblAlgn val="ctr"/>
        <c:lblOffset val="100"/>
        <c:noMultiLvlLbl val="0"/>
      </c:catAx>
      <c:valAx>
        <c:axId val="743161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2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[Institute_Enquiry_Enrollment_Analytics.xlsx]Pivot_Analysis!PT_Qualification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Qualification-wise Enquiry Distribution</a:t>
            </a:r>
            <a:endParaRPr lang="en-IN"/>
          </a:p>
        </c:rich>
      </c:tx>
      <c:layout>
        <c:manualLayout>
          <c:xMode val="edge"/>
          <c:yMode val="edge"/>
          <c:x val="5.4301485510187514E-2"/>
          <c:y val="2.81117912325591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18188705793217"/>
          <c:y val="0.22775743696310852"/>
          <c:w val="0.58250196850393698"/>
          <c:h val="0.6293157626130067"/>
        </c:manualLayout>
      </c:layout>
      <c:barChart>
        <c:barDir val="bar"/>
        <c:grouping val="clustered"/>
        <c:varyColors val="0"/>
        <c:ser>
          <c:idx val="0"/>
          <c:order val="0"/>
          <c:tx>
            <c:strRef>
              <c:f>Pivot_Analysis!$AE$3</c:f>
              <c:strCache>
                <c:ptCount val="1"/>
                <c:pt idx="0">
                  <c:v>Total</c:v>
                </c:pt>
              </c:strCache>
            </c:strRef>
          </c:tx>
          <c:spPr>
            <a:solidFill>
              <a:schemeClr val="accent1"/>
            </a:solidFill>
            <a:ln>
              <a:noFill/>
            </a:ln>
            <a:effectLst/>
          </c:spPr>
          <c:invertIfNegative val="0"/>
          <c:cat>
            <c:strRef>
              <c:f>Pivot_Analysis!$AD$4:$AD$10</c:f>
              <c:strCache>
                <c:ptCount val="6"/>
                <c:pt idx="0">
                  <c:v>Graduate</c:v>
                </c:pt>
                <c:pt idx="1">
                  <c:v>12th</c:v>
                </c:pt>
                <c:pt idx="2">
                  <c:v>Diploma</c:v>
                </c:pt>
                <c:pt idx="3">
                  <c:v>Post Graduate</c:v>
                </c:pt>
                <c:pt idx="4">
                  <c:v>10th</c:v>
                </c:pt>
                <c:pt idx="5">
                  <c:v>Other</c:v>
                </c:pt>
              </c:strCache>
            </c:strRef>
          </c:cat>
          <c:val>
            <c:numRef>
              <c:f>Pivot_Analysis!$AE$4:$AE$10</c:f>
              <c:numCache>
                <c:formatCode>General</c:formatCode>
                <c:ptCount val="6"/>
                <c:pt idx="0">
                  <c:v>200</c:v>
                </c:pt>
                <c:pt idx="1">
                  <c:v>110</c:v>
                </c:pt>
                <c:pt idx="2">
                  <c:v>91</c:v>
                </c:pt>
                <c:pt idx="3">
                  <c:v>71</c:v>
                </c:pt>
                <c:pt idx="4">
                  <c:v>24</c:v>
                </c:pt>
                <c:pt idx="5">
                  <c:v>7</c:v>
                </c:pt>
              </c:numCache>
            </c:numRef>
          </c:val>
          <c:extLst>
            <c:ext xmlns:c16="http://schemas.microsoft.com/office/drawing/2014/chart" uri="{C3380CC4-5D6E-409C-BE32-E72D297353CC}">
              <c16:uniqueId val="{00000000-82C5-47CD-AF9F-B701B6454FAF}"/>
            </c:ext>
          </c:extLst>
        </c:ser>
        <c:dLbls>
          <c:showLegendKey val="0"/>
          <c:showVal val="0"/>
          <c:showCatName val="0"/>
          <c:showSerName val="0"/>
          <c:showPercent val="0"/>
          <c:showBubbleSize val="0"/>
        </c:dLbls>
        <c:gapWidth val="182"/>
        <c:axId val="112229359"/>
        <c:axId val="173453967"/>
      </c:barChart>
      <c:catAx>
        <c:axId val="11222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53967"/>
        <c:crosses val="autoZero"/>
        <c:auto val="1"/>
        <c:lblAlgn val="ctr"/>
        <c:lblOffset val="100"/>
        <c:noMultiLvlLbl val="0"/>
      </c:catAx>
      <c:valAx>
        <c:axId val="173453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2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[Institute_Enquiry_Enrollment_Analytics.xlsx]Pivot_Analysis!PT_Age_Group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Group-wise Enquiry Distribution</a:t>
            </a:r>
            <a:endParaRPr lang="en-US" b="1"/>
          </a:p>
        </c:rich>
      </c:tx>
      <c:layout>
        <c:manualLayout>
          <c:xMode val="edge"/>
          <c:yMode val="edge"/>
          <c:x val="0.1445280186280217"/>
          <c:y val="3.02571860816944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Pivot_Analysis!$AA$22</c:f>
              <c:strCache>
                <c:ptCount val="1"/>
                <c:pt idx="0">
                  <c:v>Total</c:v>
                </c:pt>
              </c:strCache>
            </c:strRef>
          </c:tx>
          <c:spPr>
            <a:solidFill>
              <a:schemeClr val="accent1"/>
            </a:solidFill>
            <a:ln>
              <a:noFill/>
            </a:ln>
            <a:effectLst/>
          </c:spPr>
          <c:invertIfNegative val="0"/>
          <c:cat>
            <c:strRef>
              <c:f>Pivot_Analysis!$Z$23:$Z$28</c:f>
              <c:strCache>
                <c:ptCount val="5"/>
                <c:pt idx="0">
                  <c:v>22-25</c:v>
                </c:pt>
                <c:pt idx="1">
                  <c:v>18-21</c:v>
                </c:pt>
                <c:pt idx="2">
                  <c:v>26-30</c:v>
                </c:pt>
                <c:pt idx="3">
                  <c:v>31+</c:v>
                </c:pt>
                <c:pt idx="4">
                  <c:v>Below 18</c:v>
                </c:pt>
              </c:strCache>
            </c:strRef>
          </c:cat>
          <c:val>
            <c:numRef>
              <c:f>Pivot_Analysis!$AA$23:$AA$28</c:f>
              <c:numCache>
                <c:formatCode>General</c:formatCode>
                <c:ptCount val="5"/>
                <c:pt idx="0">
                  <c:v>164</c:v>
                </c:pt>
                <c:pt idx="1">
                  <c:v>154</c:v>
                </c:pt>
                <c:pt idx="2">
                  <c:v>94</c:v>
                </c:pt>
                <c:pt idx="3">
                  <c:v>53</c:v>
                </c:pt>
                <c:pt idx="4">
                  <c:v>38</c:v>
                </c:pt>
              </c:numCache>
            </c:numRef>
          </c:val>
          <c:extLst>
            <c:ext xmlns:c16="http://schemas.microsoft.com/office/drawing/2014/chart" uri="{C3380CC4-5D6E-409C-BE32-E72D297353CC}">
              <c16:uniqueId val="{00000000-2D56-4DD0-9E57-B1CAC001C5B9}"/>
            </c:ext>
          </c:extLst>
        </c:ser>
        <c:dLbls>
          <c:showLegendKey val="0"/>
          <c:showVal val="0"/>
          <c:showCatName val="0"/>
          <c:showSerName val="0"/>
          <c:showPercent val="0"/>
          <c:showBubbleSize val="0"/>
        </c:dLbls>
        <c:gapWidth val="219"/>
        <c:overlap val="-27"/>
        <c:axId val="175958287"/>
        <c:axId val="173373327"/>
      </c:barChart>
      <c:catAx>
        <c:axId val="17595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73327"/>
        <c:crosses val="autoZero"/>
        <c:auto val="1"/>
        <c:lblAlgn val="ctr"/>
        <c:lblOffset val="100"/>
        <c:noMultiLvlLbl val="0"/>
      </c:catAx>
      <c:valAx>
        <c:axId val="17337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5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[Institute_Enquiry_Enrollment_Analytics.xlsx]Pivot_Analysis!PT_Preferred_Batch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Preferred Batch Preference</a:t>
            </a:r>
            <a:endParaRPr lang="en-IN"/>
          </a:p>
        </c:rich>
      </c:tx>
      <c:layout>
        <c:manualLayout>
          <c:xMode val="edge"/>
          <c:yMode val="edge"/>
          <c:x val="7.9502123330089366E-2"/>
          <c:y val="3.88898945103126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006237282137486"/>
          <c:y val="0.1940768898140606"/>
          <c:w val="0.49316788897430036"/>
          <c:h val="0.62511916361625364"/>
        </c:manualLayout>
      </c:layout>
      <c:doughnutChart>
        <c:varyColors val="1"/>
        <c:ser>
          <c:idx val="0"/>
          <c:order val="0"/>
          <c:tx>
            <c:strRef>
              <c:f>Pivot_Analysis!$AE$24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4B-4A58-B120-9B4F4262FA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4B-4A58-B120-9B4F4262FA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4B-4A58-B120-9B4F4262FA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24B-4A58-B120-9B4F4262FA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Pivot_Analysis!$AD$25:$AD$29</c:f>
              <c:strCache>
                <c:ptCount val="4"/>
                <c:pt idx="0">
                  <c:v>Afternoon</c:v>
                </c:pt>
                <c:pt idx="1">
                  <c:v>Evening</c:v>
                </c:pt>
                <c:pt idx="2">
                  <c:v>Morning</c:v>
                </c:pt>
                <c:pt idx="3">
                  <c:v>Weekend</c:v>
                </c:pt>
              </c:strCache>
            </c:strRef>
          </c:cat>
          <c:val>
            <c:numRef>
              <c:f>Pivot_Analysis!$AE$25:$AE$29</c:f>
              <c:numCache>
                <c:formatCode>General</c:formatCode>
                <c:ptCount val="4"/>
                <c:pt idx="0">
                  <c:v>112</c:v>
                </c:pt>
                <c:pt idx="1">
                  <c:v>128</c:v>
                </c:pt>
                <c:pt idx="2">
                  <c:v>136</c:v>
                </c:pt>
                <c:pt idx="3">
                  <c:v>127</c:v>
                </c:pt>
              </c:numCache>
            </c:numRef>
          </c:val>
          <c:extLst>
            <c:ext xmlns:c16="http://schemas.microsoft.com/office/drawing/2014/chart" uri="{C3380CC4-5D6E-409C-BE32-E72D297353CC}">
              <c16:uniqueId val="{00000000-6BCC-4DF3-AA1C-3607D4366FF6}"/>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[Institute_Enquiry_Enrollment_Analytics.xlsx]Pivot_Analysis!PT_Category_Demand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Course Category-wise Enquiry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Pivot_Analysis!$F$20</c:f>
              <c:strCache>
                <c:ptCount val="1"/>
                <c:pt idx="0">
                  <c:v>Total</c:v>
                </c:pt>
              </c:strCache>
            </c:strRef>
          </c:tx>
          <c:spPr>
            <a:solidFill>
              <a:schemeClr val="accent1"/>
            </a:solidFill>
            <a:ln>
              <a:noFill/>
            </a:ln>
            <a:effectLst/>
          </c:spPr>
          <c:invertIfNegative val="0"/>
          <c:cat>
            <c:strRef>
              <c:f>Pivot_Analysis!$E$21:$E$32</c:f>
              <c:strCache>
                <c:ptCount val="11"/>
                <c:pt idx="0">
                  <c:v>Accounting</c:v>
                </c:pt>
                <c:pt idx="1">
                  <c:v>AI &amp; Machine Learning</c:v>
                </c:pt>
                <c:pt idx="2">
                  <c:v>Computer Applications</c:v>
                </c:pt>
                <c:pt idx="3">
                  <c:v>Computer Basics</c:v>
                </c:pt>
                <c:pt idx="4">
                  <c:v>Creative</c:v>
                </c:pt>
                <c:pt idx="5">
                  <c:v>Data &amp; Analytics</c:v>
                </c:pt>
                <c:pt idx="6">
                  <c:v>Digital Marketing</c:v>
                </c:pt>
                <c:pt idx="7">
                  <c:v>Finance</c:v>
                </c:pt>
                <c:pt idx="8">
                  <c:v>Office &amp; Analytics</c:v>
                </c:pt>
                <c:pt idx="9">
                  <c:v>Programming</c:v>
                </c:pt>
                <c:pt idx="10">
                  <c:v>Web Development</c:v>
                </c:pt>
              </c:strCache>
            </c:strRef>
          </c:cat>
          <c:val>
            <c:numRef>
              <c:f>Pivot_Analysis!$F$21:$F$32</c:f>
              <c:numCache>
                <c:formatCode>General</c:formatCode>
                <c:ptCount val="11"/>
                <c:pt idx="0">
                  <c:v>33</c:v>
                </c:pt>
                <c:pt idx="1">
                  <c:v>25</c:v>
                </c:pt>
                <c:pt idx="2">
                  <c:v>31</c:v>
                </c:pt>
                <c:pt idx="3">
                  <c:v>83</c:v>
                </c:pt>
                <c:pt idx="4">
                  <c:v>68</c:v>
                </c:pt>
                <c:pt idx="5">
                  <c:v>65</c:v>
                </c:pt>
                <c:pt idx="6">
                  <c:v>25</c:v>
                </c:pt>
                <c:pt idx="7">
                  <c:v>36</c:v>
                </c:pt>
                <c:pt idx="8">
                  <c:v>25</c:v>
                </c:pt>
                <c:pt idx="9">
                  <c:v>42</c:v>
                </c:pt>
                <c:pt idx="10">
                  <c:v>70</c:v>
                </c:pt>
              </c:numCache>
            </c:numRef>
          </c:val>
          <c:extLst>
            <c:ext xmlns:c16="http://schemas.microsoft.com/office/drawing/2014/chart" uri="{C3380CC4-5D6E-409C-BE32-E72D297353CC}">
              <c16:uniqueId val="{00000000-7ABE-4C9E-9B59-90D249117129}"/>
            </c:ext>
          </c:extLst>
        </c:ser>
        <c:dLbls>
          <c:showLegendKey val="0"/>
          <c:showVal val="0"/>
          <c:showCatName val="0"/>
          <c:showSerName val="0"/>
          <c:showPercent val="0"/>
          <c:showBubbleSize val="0"/>
        </c:dLbls>
        <c:gapWidth val="182"/>
        <c:axId val="112281791"/>
        <c:axId val="173434287"/>
      </c:barChart>
      <c:catAx>
        <c:axId val="11228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34287"/>
        <c:crosses val="autoZero"/>
        <c:auto val="1"/>
        <c:lblAlgn val="ctr"/>
        <c:lblOffset val="100"/>
        <c:noMultiLvlLbl val="0"/>
      </c:catAx>
      <c:valAx>
        <c:axId val="173434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Course-wise Enquiry &amp; Conversion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Conversion_Analysis!$B$2</c:f>
              <c:strCache>
                <c:ptCount val="1"/>
                <c:pt idx="0">
                  <c:v>Total Enquiries</c:v>
                </c:pt>
              </c:strCache>
            </c:strRef>
          </c:tx>
          <c:spPr>
            <a:solidFill>
              <a:schemeClr val="accent1"/>
            </a:solidFill>
            <a:ln>
              <a:noFill/>
            </a:ln>
            <a:effectLst/>
          </c:spPr>
          <c:invertIfNegative val="0"/>
          <c:cat>
            <c:strRef>
              <c:f>Conversion_Analysis!$A$3:$A$17</c:f>
              <c:strCache>
                <c:ptCount val="15"/>
                <c:pt idx="0">
                  <c:v>Advanced Excel</c:v>
                </c:pt>
                <c:pt idx="1">
                  <c:v>AI &amp; Machine Learning</c:v>
                </c:pt>
                <c:pt idx="2">
                  <c:v>Basic Computer Course</c:v>
                </c:pt>
                <c:pt idx="3">
                  <c:v>Computer Typing</c:v>
                </c:pt>
                <c:pt idx="4">
                  <c:v>Data Analytics</c:v>
                </c:pt>
                <c:pt idx="5">
                  <c:v>Data Science</c:v>
                </c:pt>
                <c:pt idx="6">
                  <c:v>DCA</c:v>
                </c:pt>
                <c:pt idx="7">
                  <c:v>Digital Marketing</c:v>
                </c:pt>
                <c:pt idx="8">
                  <c:v>Full Stack Development</c:v>
                </c:pt>
                <c:pt idx="9">
                  <c:v>Graphic Designing</c:v>
                </c:pt>
                <c:pt idx="10">
                  <c:v>Python Programming</c:v>
                </c:pt>
                <c:pt idx="11">
                  <c:v>Tally with GST</c:v>
                </c:pt>
                <c:pt idx="12">
                  <c:v>Trading &amp; Financial Market Basics</c:v>
                </c:pt>
                <c:pt idx="13">
                  <c:v>Video Editing</c:v>
                </c:pt>
                <c:pt idx="14">
                  <c:v>Web Designing</c:v>
                </c:pt>
              </c:strCache>
            </c:strRef>
          </c:cat>
          <c:val>
            <c:numRef>
              <c:f>Conversion_Analysis!$B$3:$B$17</c:f>
              <c:numCache>
                <c:formatCode>General</c:formatCode>
                <c:ptCount val="15"/>
                <c:pt idx="0">
                  <c:v>25</c:v>
                </c:pt>
                <c:pt idx="1">
                  <c:v>25</c:v>
                </c:pt>
                <c:pt idx="2">
                  <c:v>33</c:v>
                </c:pt>
                <c:pt idx="3">
                  <c:v>50</c:v>
                </c:pt>
                <c:pt idx="4">
                  <c:v>39</c:v>
                </c:pt>
                <c:pt idx="5">
                  <c:v>26</c:v>
                </c:pt>
                <c:pt idx="6">
                  <c:v>31</c:v>
                </c:pt>
                <c:pt idx="7">
                  <c:v>25</c:v>
                </c:pt>
                <c:pt idx="8">
                  <c:v>31</c:v>
                </c:pt>
                <c:pt idx="9">
                  <c:v>28</c:v>
                </c:pt>
                <c:pt idx="10">
                  <c:v>42</c:v>
                </c:pt>
                <c:pt idx="11">
                  <c:v>33</c:v>
                </c:pt>
                <c:pt idx="12">
                  <c:v>36</c:v>
                </c:pt>
                <c:pt idx="13">
                  <c:v>40</c:v>
                </c:pt>
                <c:pt idx="14">
                  <c:v>39</c:v>
                </c:pt>
              </c:numCache>
            </c:numRef>
          </c:val>
          <c:extLst>
            <c:ext xmlns:c16="http://schemas.microsoft.com/office/drawing/2014/chart" uri="{C3380CC4-5D6E-409C-BE32-E72D297353CC}">
              <c16:uniqueId val="{00000000-33C9-4950-9F4B-EA3F53A9DF4C}"/>
            </c:ext>
          </c:extLst>
        </c:ser>
        <c:ser>
          <c:idx val="1"/>
          <c:order val="1"/>
          <c:tx>
            <c:strRef>
              <c:f>Conversion_Analysis!$C$2</c:f>
              <c:strCache>
                <c:ptCount val="1"/>
                <c:pt idx="0">
                  <c:v>Converted Enquiries</c:v>
                </c:pt>
              </c:strCache>
            </c:strRef>
          </c:tx>
          <c:spPr>
            <a:solidFill>
              <a:schemeClr val="accent2"/>
            </a:solidFill>
            <a:ln>
              <a:noFill/>
            </a:ln>
            <a:effectLst/>
          </c:spPr>
          <c:invertIfNegative val="0"/>
          <c:cat>
            <c:strRef>
              <c:f>Conversion_Analysis!$A$3:$A$17</c:f>
              <c:strCache>
                <c:ptCount val="15"/>
                <c:pt idx="0">
                  <c:v>Advanced Excel</c:v>
                </c:pt>
                <c:pt idx="1">
                  <c:v>AI &amp; Machine Learning</c:v>
                </c:pt>
                <c:pt idx="2">
                  <c:v>Basic Computer Course</c:v>
                </c:pt>
                <c:pt idx="3">
                  <c:v>Computer Typing</c:v>
                </c:pt>
                <c:pt idx="4">
                  <c:v>Data Analytics</c:v>
                </c:pt>
                <c:pt idx="5">
                  <c:v>Data Science</c:v>
                </c:pt>
                <c:pt idx="6">
                  <c:v>DCA</c:v>
                </c:pt>
                <c:pt idx="7">
                  <c:v>Digital Marketing</c:v>
                </c:pt>
                <c:pt idx="8">
                  <c:v>Full Stack Development</c:v>
                </c:pt>
                <c:pt idx="9">
                  <c:v>Graphic Designing</c:v>
                </c:pt>
                <c:pt idx="10">
                  <c:v>Python Programming</c:v>
                </c:pt>
                <c:pt idx="11">
                  <c:v>Tally with GST</c:v>
                </c:pt>
                <c:pt idx="12">
                  <c:v>Trading &amp; Financial Market Basics</c:v>
                </c:pt>
                <c:pt idx="13">
                  <c:v>Video Editing</c:v>
                </c:pt>
                <c:pt idx="14">
                  <c:v>Web Designing</c:v>
                </c:pt>
              </c:strCache>
            </c:strRef>
          </c:cat>
          <c:val>
            <c:numRef>
              <c:f>Conversion_Analysis!$C$3:$C$17</c:f>
              <c:numCache>
                <c:formatCode>General</c:formatCode>
                <c:ptCount val="15"/>
                <c:pt idx="0">
                  <c:v>7</c:v>
                </c:pt>
                <c:pt idx="1">
                  <c:v>9</c:v>
                </c:pt>
                <c:pt idx="2">
                  <c:v>10</c:v>
                </c:pt>
                <c:pt idx="3">
                  <c:v>19</c:v>
                </c:pt>
                <c:pt idx="4">
                  <c:v>14</c:v>
                </c:pt>
                <c:pt idx="5">
                  <c:v>11</c:v>
                </c:pt>
                <c:pt idx="6">
                  <c:v>7</c:v>
                </c:pt>
                <c:pt idx="7">
                  <c:v>9</c:v>
                </c:pt>
                <c:pt idx="8">
                  <c:v>8</c:v>
                </c:pt>
                <c:pt idx="9">
                  <c:v>10</c:v>
                </c:pt>
                <c:pt idx="10">
                  <c:v>15</c:v>
                </c:pt>
                <c:pt idx="11">
                  <c:v>5</c:v>
                </c:pt>
                <c:pt idx="12">
                  <c:v>17</c:v>
                </c:pt>
                <c:pt idx="13">
                  <c:v>15</c:v>
                </c:pt>
                <c:pt idx="14">
                  <c:v>17</c:v>
                </c:pt>
              </c:numCache>
            </c:numRef>
          </c:val>
          <c:extLst>
            <c:ext xmlns:c16="http://schemas.microsoft.com/office/drawing/2014/chart" uri="{C3380CC4-5D6E-409C-BE32-E72D297353CC}">
              <c16:uniqueId val="{00000001-33C9-4950-9F4B-EA3F53A9DF4C}"/>
            </c:ext>
          </c:extLst>
        </c:ser>
        <c:dLbls>
          <c:showLegendKey val="0"/>
          <c:showVal val="0"/>
          <c:showCatName val="0"/>
          <c:showSerName val="0"/>
          <c:showPercent val="0"/>
          <c:showBubbleSize val="0"/>
        </c:dLbls>
        <c:gapWidth val="219"/>
        <c:overlap val="-27"/>
        <c:axId val="190726511"/>
        <c:axId val="2123186864"/>
      </c:barChart>
      <c:lineChart>
        <c:grouping val="standard"/>
        <c:varyColors val="0"/>
        <c:ser>
          <c:idx val="2"/>
          <c:order val="2"/>
          <c:tx>
            <c:strRef>
              <c:f>Conversion_Analysis!$D$2</c:f>
              <c:strCache>
                <c:ptCount val="1"/>
                <c:pt idx="0">
                  <c:v>Conversion Rate</c:v>
                </c:pt>
              </c:strCache>
            </c:strRef>
          </c:tx>
          <c:spPr>
            <a:ln w="28575" cap="rnd">
              <a:solidFill>
                <a:schemeClr val="accent3"/>
              </a:solidFill>
              <a:round/>
            </a:ln>
            <a:effectLst/>
          </c:spPr>
          <c:marker>
            <c:symbol val="none"/>
          </c:marker>
          <c:cat>
            <c:strRef>
              <c:f>Conversion_Analysis!$A$3:$A$17</c:f>
              <c:strCache>
                <c:ptCount val="15"/>
                <c:pt idx="0">
                  <c:v>Advanced Excel</c:v>
                </c:pt>
                <c:pt idx="1">
                  <c:v>AI &amp; Machine Learning</c:v>
                </c:pt>
                <c:pt idx="2">
                  <c:v>Basic Computer Course</c:v>
                </c:pt>
                <c:pt idx="3">
                  <c:v>Computer Typing</c:v>
                </c:pt>
                <c:pt idx="4">
                  <c:v>Data Analytics</c:v>
                </c:pt>
                <c:pt idx="5">
                  <c:v>Data Science</c:v>
                </c:pt>
                <c:pt idx="6">
                  <c:v>DCA</c:v>
                </c:pt>
                <c:pt idx="7">
                  <c:v>Digital Marketing</c:v>
                </c:pt>
                <c:pt idx="8">
                  <c:v>Full Stack Development</c:v>
                </c:pt>
                <c:pt idx="9">
                  <c:v>Graphic Designing</c:v>
                </c:pt>
                <c:pt idx="10">
                  <c:v>Python Programming</c:v>
                </c:pt>
                <c:pt idx="11">
                  <c:v>Tally with GST</c:v>
                </c:pt>
                <c:pt idx="12">
                  <c:v>Trading &amp; Financial Market Basics</c:v>
                </c:pt>
                <c:pt idx="13">
                  <c:v>Video Editing</c:v>
                </c:pt>
                <c:pt idx="14">
                  <c:v>Web Designing</c:v>
                </c:pt>
              </c:strCache>
            </c:strRef>
          </c:cat>
          <c:val>
            <c:numRef>
              <c:f>Conversion_Analysis!$D$3:$D$17</c:f>
              <c:numCache>
                <c:formatCode>0.00%</c:formatCode>
                <c:ptCount val="15"/>
                <c:pt idx="0">
                  <c:v>0.28000000000000003</c:v>
                </c:pt>
                <c:pt idx="1">
                  <c:v>0.36</c:v>
                </c:pt>
                <c:pt idx="2">
                  <c:v>0.30303030303030304</c:v>
                </c:pt>
                <c:pt idx="3">
                  <c:v>0.38</c:v>
                </c:pt>
                <c:pt idx="4">
                  <c:v>0.35897435897435898</c:v>
                </c:pt>
                <c:pt idx="5">
                  <c:v>0.42307692307692307</c:v>
                </c:pt>
                <c:pt idx="6">
                  <c:v>0.22580645161290322</c:v>
                </c:pt>
                <c:pt idx="7">
                  <c:v>0.36</c:v>
                </c:pt>
                <c:pt idx="8">
                  <c:v>0.25806451612903225</c:v>
                </c:pt>
                <c:pt idx="9">
                  <c:v>0.35714285714285715</c:v>
                </c:pt>
                <c:pt idx="10">
                  <c:v>0.35714285714285715</c:v>
                </c:pt>
                <c:pt idx="11">
                  <c:v>0.15151515151515152</c:v>
                </c:pt>
                <c:pt idx="12">
                  <c:v>0.47222222222222221</c:v>
                </c:pt>
                <c:pt idx="13">
                  <c:v>0.375</c:v>
                </c:pt>
                <c:pt idx="14">
                  <c:v>0.4358974358974359</c:v>
                </c:pt>
              </c:numCache>
            </c:numRef>
          </c:val>
          <c:smooth val="0"/>
          <c:extLst>
            <c:ext xmlns:c16="http://schemas.microsoft.com/office/drawing/2014/chart" uri="{C3380CC4-5D6E-409C-BE32-E72D297353CC}">
              <c16:uniqueId val="{00000002-33C9-4950-9F4B-EA3F53A9DF4C}"/>
            </c:ext>
          </c:extLst>
        </c:ser>
        <c:dLbls>
          <c:showLegendKey val="0"/>
          <c:showVal val="0"/>
          <c:showCatName val="0"/>
          <c:showSerName val="0"/>
          <c:showPercent val="0"/>
          <c:showBubbleSize val="0"/>
        </c:dLbls>
        <c:marker val="1"/>
        <c:smooth val="0"/>
        <c:axId val="190678255"/>
        <c:axId val="2123188304"/>
      </c:lineChart>
      <c:catAx>
        <c:axId val="19072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86864"/>
        <c:crosses val="autoZero"/>
        <c:auto val="1"/>
        <c:lblAlgn val="ctr"/>
        <c:lblOffset val="100"/>
        <c:noMultiLvlLbl val="0"/>
      </c:catAx>
      <c:valAx>
        <c:axId val="212318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26511"/>
        <c:crosses val="autoZero"/>
        <c:crossBetween val="between"/>
      </c:valAx>
      <c:valAx>
        <c:axId val="21231883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78255"/>
        <c:crosses val="max"/>
        <c:crossBetween val="between"/>
      </c:valAx>
      <c:catAx>
        <c:axId val="190678255"/>
        <c:scaling>
          <c:orientation val="minMax"/>
        </c:scaling>
        <c:delete val="1"/>
        <c:axPos val="b"/>
        <c:numFmt formatCode="General" sourceLinked="1"/>
        <c:majorTickMark val="out"/>
        <c:minorTickMark val="none"/>
        <c:tickLblPos val="nextTo"/>
        <c:crossAx val="21231883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33618</xdr:colOff>
      <xdr:row>7</xdr:row>
      <xdr:rowOff>53340</xdr:rowOff>
    </xdr:from>
    <xdr:to>
      <xdr:col>7</xdr:col>
      <xdr:colOff>-1</xdr:colOff>
      <xdr:row>20</xdr:row>
      <xdr:rowOff>38100</xdr:rowOff>
    </xdr:to>
    <xdr:graphicFrame macro="">
      <xdr:nvGraphicFramePr>
        <xdr:cNvPr id="2" name="Chart 1">
          <a:extLst>
            <a:ext uri="{FF2B5EF4-FFF2-40B4-BE49-F238E27FC236}">
              <a16:creationId xmlns:a16="http://schemas.microsoft.com/office/drawing/2014/main" id="{B5E423B4-D043-4EED-9C04-1A3078E29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7</xdr:row>
      <xdr:rowOff>53340</xdr:rowOff>
    </xdr:from>
    <xdr:to>
      <xdr:col>15</xdr:col>
      <xdr:colOff>7620</xdr:colOff>
      <xdr:row>20</xdr:row>
      <xdr:rowOff>60960</xdr:rowOff>
    </xdr:to>
    <xdr:graphicFrame macro="">
      <xdr:nvGraphicFramePr>
        <xdr:cNvPr id="3" name="Chart 2">
          <a:extLst>
            <a:ext uri="{FF2B5EF4-FFF2-40B4-BE49-F238E27FC236}">
              <a16:creationId xmlns:a16="http://schemas.microsoft.com/office/drawing/2014/main" id="{E0E248DE-FFE6-43A2-B475-EBA70FDF8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44824</xdr:colOff>
      <xdr:row>21</xdr:row>
      <xdr:rowOff>0</xdr:rowOff>
    </xdr:from>
    <xdr:to>
      <xdr:col>7</xdr:col>
      <xdr:colOff>7620</xdr:colOff>
      <xdr:row>33</xdr:row>
      <xdr:rowOff>167640</xdr:rowOff>
    </xdr:to>
    <xdr:graphicFrame macro="">
      <xdr:nvGraphicFramePr>
        <xdr:cNvPr id="4" name="Chart 3">
          <a:extLst>
            <a:ext uri="{FF2B5EF4-FFF2-40B4-BE49-F238E27FC236}">
              <a16:creationId xmlns:a16="http://schemas.microsoft.com/office/drawing/2014/main" id="{726D0909-4BC3-4706-97B5-8BBAB12E5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21</xdr:row>
      <xdr:rowOff>0</xdr:rowOff>
    </xdr:from>
    <xdr:to>
      <xdr:col>15</xdr:col>
      <xdr:colOff>7620</xdr:colOff>
      <xdr:row>34</xdr:row>
      <xdr:rowOff>15240</xdr:rowOff>
    </xdr:to>
    <xdr:graphicFrame macro="">
      <xdr:nvGraphicFramePr>
        <xdr:cNvPr id="5" name="Chart 4">
          <a:extLst>
            <a:ext uri="{FF2B5EF4-FFF2-40B4-BE49-F238E27FC236}">
              <a16:creationId xmlns:a16="http://schemas.microsoft.com/office/drawing/2014/main" id="{3A2CA6F8-44ED-4A2A-ADBB-11D6D1A4E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33618</xdr:colOff>
      <xdr:row>35</xdr:row>
      <xdr:rowOff>0</xdr:rowOff>
    </xdr:from>
    <xdr:to>
      <xdr:col>6</xdr:col>
      <xdr:colOff>601979</xdr:colOff>
      <xdr:row>48</xdr:row>
      <xdr:rowOff>0</xdr:rowOff>
    </xdr:to>
    <xdr:graphicFrame macro="">
      <xdr:nvGraphicFramePr>
        <xdr:cNvPr id="6" name="Chart 5">
          <a:extLst>
            <a:ext uri="{FF2B5EF4-FFF2-40B4-BE49-F238E27FC236}">
              <a16:creationId xmlns:a16="http://schemas.microsoft.com/office/drawing/2014/main" id="{C5F82008-2A89-448C-9127-83FC3BD21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35</xdr:row>
      <xdr:rowOff>0</xdr:rowOff>
    </xdr:from>
    <xdr:to>
      <xdr:col>15</xdr:col>
      <xdr:colOff>7620</xdr:colOff>
      <xdr:row>47</xdr:row>
      <xdr:rowOff>167640</xdr:rowOff>
    </xdr:to>
    <xdr:graphicFrame macro="">
      <xdr:nvGraphicFramePr>
        <xdr:cNvPr id="7" name="Chart 6">
          <a:extLst>
            <a:ext uri="{FF2B5EF4-FFF2-40B4-BE49-F238E27FC236}">
              <a16:creationId xmlns:a16="http://schemas.microsoft.com/office/drawing/2014/main" id="{0731C096-5EEF-424E-A89C-927E27AF0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46342</xdr:colOff>
      <xdr:row>7</xdr:row>
      <xdr:rowOff>62204</xdr:rowOff>
    </xdr:from>
    <xdr:to>
      <xdr:col>18</xdr:col>
      <xdr:colOff>31102</xdr:colOff>
      <xdr:row>34</xdr:row>
      <xdr:rowOff>0</xdr:rowOff>
    </xdr:to>
    <mc:AlternateContent xmlns:mc="http://schemas.openxmlformats.org/markup-compatibility/2006" xmlns:a14="http://schemas.microsoft.com/office/drawing/2010/main">
      <mc:Choice Requires="a14">
        <xdr:graphicFrame macro="">
          <xdr:nvGraphicFramePr>
            <xdr:cNvPr id="8" name="course_name">
              <a:extLst>
                <a:ext uri="{FF2B5EF4-FFF2-40B4-BE49-F238E27FC236}">
                  <a16:creationId xmlns:a16="http://schemas.microsoft.com/office/drawing/2014/main" id="{E7E2EBD4-2336-0438-6595-D67B8DB8D9A0}"/>
                </a:ext>
              </a:extLst>
            </xdr:cNvPr>
            <xdr:cNvGraphicFramePr/>
          </xdr:nvGraphicFramePr>
          <xdr:xfrm>
            <a:off x="0" y="0"/>
            <a:ext cx="0" cy="0"/>
          </xdr:xfrm>
          <a:graphic>
            <a:graphicData uri="http://schemas.microsoft.com/office/drawing/2010/slicer">
              <sle:slicer xmlns:sle="http://schemas.microsoft.com/office/drawing/2010/slicer" name="course_name"/>
            </a:graphicData>
          </a:graphic>
        </xdr:graphicFrame>
      </mc:Choice>
      <mc:Fallback xmlns="">
        <xdr:sp macro="" textlink="">
          <xdr:nvSpPr>
            <xdr:cNvPr id="0" name=""/>
            <xdr:cNvSpPr>
              <a:spLocks noTextEdit="1"/>
            </xdr:cNvSpPr>
          </xdr:nvSpPr>
          <xdr:spPr>
            <a:xfrm>
              <a:off x="9123107" y="1317263"/>
              <a:ext cx="1800113" cy="4812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23171</xdr:colOff>
      <xdr:row>2</xdr:row>
      <xdr:rowOff>31103</xdr:rowOff>
    </xdr:from>
    <xdr:to>
      <xdr:col>18</xdr:col>
      <xdr:colOff>11042</xdr:colOff>
      <xdr:row>7</xdr:row>
      <xdr:rowOff>4208</xdr:rowOff>
    </xdr:to>
    <mc:AlternateContent xmlns:mc="http://schemas.openxmlformats.org/markup-compatibility/2006" xmlns:a14="http://schemas.microsoft.com/office/drawing/2010/main">
      <mc:Choice Requires="a14">
        <xdr:graphicFrame macro="">
          <xdr:nvGraphicFramePr>
            <xdr:cNvPr id="9" name="Enquiry_Year">
              <a:extLst>
                <a:ext uri="{FF2B5EF4-FFF2-40B4-BE49-F238E27FC236}">
                  <a16:creationId xmlns:a16="http://schemas.microsoft.com/office/drawing/2014/main" id="{8AFB86BE-479A-A10D-01A4-B558933DDAF5}"/>
                </a:ext>
              </a:extLst>
            </xdr:cNvPr>
            <xdr:cNvGraphicFramePr/>
          </xdr:nvGraphicFramePr>
          <xdr:xfrm>
            <a:off x="0" y="0"/>
            <a:ext cx="0" cy="0"/>
          </xdr:xfrm>
          <a:graphic>
            <a:graphicData uri="http://schemas.microsoft.com/office/drawing/2010/slicer">
              <sle:slicer xmlns:sle="http://schemas.microsoft.com/office/drawing/2010/slicer" name="Enquiry_Year"/>
            </a:graphicData>
          </a:graphic>
        </xdr:graphicFrame>
      </mc:Choice>
      <mc:Fallback xmlns="">
        <xdr:sp macro="" textlink="">
          <xdr:nvSpPr>
            <xdr:cNvPr id="0" name=""/>
            <xdr:cNvSpPr>
              <a:spLocks noTextEdit="1"/>
            </xdr:cNvSpPr>
          </xdr:nvSpPr>
          <xdr:spPr>
            <a:xfrm>
              <a:off x="9099936" y="389691"/>
              <a:ext cx="1803224" cy="869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54273</xdr:colOff>
      <xdr:row>35</xdr:row>
      <xdr:rowOff>19749</xdr:rowOff>
    </xdr:from>
    <xdr:to>
      <xdr:col>18</xdr:col>
      <xdr:colOff>54273</xdr:colOff>
      <xdr:row>47</xdr:row>
      <xdr:rowOff>168088</xdr:rowOff>
    </xdr:to>
    <mc:AlternateContent xmlns:mc="http://schemas.openxmlformats.org/markup-compatibility/2006" xmlns:a14="http://schemas.microsoft.com/office/drawing/2010/main">
      <mc:Choice Requires="a14">
        <xdr:graphicFrame macro="">
          <xdr:nvGraphicFramePr>
            <xdr:cNvPr id="10" name="enquiry_status">
              <a:extLst>
                <a:ext uri="{FF2B5EF4-FFF2-40B4-BE49-F238E27FC236}">
                  <a16:creationId xmlns:a16="http://schemas.microsoft.com/office/drawing/2014/main" id="{D983DFD7-6F42-9203-3A56-6948847C0024}"/>
                </a:ext>
              </a:extLst>
            </xdr:cNvPr>
            <xdr:cNvGraphicFramePr/>
          </xdr:nvGraphicFramePr>
          <xdr:xfrm>
            <a:off x="0" y="0"/>
            <a:ext cx="0" cy="0"/>
          </xdr:xfrm>
          <a:graphic>
            <a:graphicData uri="http://schemas.microsoft.com/office/drawing/2010/slicer">
              <sle:slicer xmlns:sle="http://schemas.microsoft.com/office/drawing/2010/slicer" name="enquiry_status"/>
            </a:graphicData>
          </a:graphic>
        </xdr:graphicFrame>
      </mc:Choice>
      <mc:Fallback xmlns="">
        <xdr:sp macro="" textlink="">
          <xdr:nvSpPr>
            <xdr:cNvPr id="0" name=""/>
            <xdr:cNvSpPr>
              <a:spLocks noTextEdit="1"/>
            </xdr:cNvSpPr>
          </xdr:nvSpPr>
          <xdr:spPr>
            <a:xfrm>
              <a:off x="9131038" y="6295043"/>
              <a:ext cx="1815353" cy="2299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274320</xdr:colOff>
      <xdr:row>1</xdr:row>
      <xdr:rowOff>163830</xdr:rowOff>
    </xdr:from>
    <xdr:to>
      <xdr:col>9</xdr:col>
      <xdr:colOff>259080</xdr:colOff>
      <xdr:row>12</xdr:row>
      <xdr:rowOff>0</xdr:rowOff>
    </xdr:to>
    <xdr:graphicFrame macro="">
      <xdr:nvGraphicFramePr>
        <xdr:cNvPr id="2" name="Chart 1">
          <a:extLst>
            <a:ext uri="{FF2B5EF4-FFF2-40B4-BE49-F238E27FC236}">
              <a16:creationId xmlns:a16="http://schemas.microsoft.com/office/drawing/2014/main" id="{94750A98-A633-B86E-CFBC-FF66018E1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251460</xdr:colOff>
      <xdr:row>1</xdr:row>
      <xdr:rowOff>163830</xdr:rowOff>
    </xdr:from>
    <xdr:to>
      <xdr:col>18</xdr:col>
      <xdr:colOff>76200</xdr:colOff>
      <xdr:row>12</xdr:row>
      <xdr:rowOff>7620</xdr:rowOff>
    </xdr:to>
    <xdr:graphicFrame macro="">
      <xdr:nvGraphicFramePr>
        <xdr:cNvPr id="3" name="Chart 2">
          <a:extLst>
            <a:ext uri="{FF2B5EF4-FFF2-40B4-BE49-F238E27FC236}">
              <a16:creationId xmlns:a16="http://schemas.microsoft.com/office/drawing/2014/main" id="{9403832A-7F9E-7388-960E-74641E309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19</xdr:row>
      <xdr:rowOff>72390</xdr:rowOff>
    </xdr:from>
    <xdr:to>
      <xdr:col>3</xdr:col>
      <xdr:colOff>15240</xdr:colOff>
      <xdr:row>30</xdr:row>
      <xdr:rowOff>129540</xdr:rowOff>
    </xdr:to>
    <xdr:graphicFrame macro="">
      <xdr:nvGraphicFramePr>
        <xdr:cNvPr id="2" name="Chart 1">
          <a:extLst>
            <a:ext uri="{FF2B5EF4-FFF2-40B4-BE49-F238E27FC236}">
              <a16:creationId xmlns:a16="http://schemas.microsoft.com/office/drawing/2014/main" id="{AF39B417-8943-625C-4FBF-DDABBBA6B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426720</xdr:colOff>
      <xdr:row>7</xdr:row>
      <xdr:rowOff>0</xdr:rowOff>
    </xdr:from>
    <xdr:to>
      <xdr:col>6</xdr:col>
      <xdr:colOff>457200</xdr:colOff>
      <xdr:row>16</xdr:row>
      <xdr:rowOff>121920</xdr:rowOff>
    </xdr:to>
    <xdr:graphicFrame macro="">
      <xdr:nvGraphicFramePr>
        <xdr:cNvPr id="4" name="Chart 3">
          <a:extLst>
            <a:ext uri="{FF2B5EF4-FFF2-40B4-BE49-F238E27FC236}">
              <a16:creationId xmlns:a16="http://schemas.microsoft.com/office/drawing/2014/main" id="{B5A29752-5A1A-129F-0836-B4671E995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99060</xdr:colOff>
      <xdr:row>10</xdr:row>
      <xdr:rowOff>64770</xdr:rowOff>
    </xdr:from>
    <xdr:to>
      <xdr:col>12</xdr:col>
      <xdr:colOff>53340</xdr:colOff>
      <xdr:row>23</xdr:row>
      <xdr:rowOff>91440</xdr:rowOff>
    </xdr:to>
    <xdr:graphicFrame macro="">
      <xdr:nvGraphicFramePr>
        <xdr:cNvPr id="5" name="Chart 4">
          <a:extLst>
            <a:ext uri="{FF2B5EF4-FFF2-40B4-BE49-F238E27FC236}">
              <a16:creationId xmlns:a16="http://schemas.microsoft.com/office/drawing/2014/main" id="{11FDF295-3E02-2A6B-76DE-FA93E4E6F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144780</xdr:colOff>
      <xdr:row>12</xdr:row>
      <xdr:rowOff>60960</xdr:rowOff>
    </xdr:from>
    <xdr:to>
      <xdr:col>16</xdr:col>
      <xdr:colOff>556260</xdr:colOff>
      <xdr:row>24</xdr:row>
      <xdr:rowOff>167640</xdr:rowOff>
    </xdr:to>
    <xdr:graphicFrame macro="">
      <xdr:nvGraphicFramePr>
        <xdr:cNvPr id="6" name="Chart 5">
          <a:extLst>
            <a:ext uri="{FF2B5EF4-FFF2-40B4-BE49-F238E27FC236}">
              <a16:creationId xmlns:a16="http://schemas.microsoft.com/office/drawing/2014/main" id="{C3BD7032-FD0A-2FC8-61C3-0E59DDDAF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708660</xdr:colOff>
      <xdr:row>26</xdr:row>
      <xdr:rowOff>45720</xdr:rowOff>
    </xdr:from>
    <xdr:to>
      <xdr:col>16</xdr:col>
      <xdr:colOff>495300</xdr:colOff>
      <xdr:row>37</xdr:row>
      <xdr:rowOff>22860</xdr:rowOff>
    </xdr:to>
    <xdr:graphicFrame macro="">
      <xdr:nvGraphicFramePr>
        <xdr:cNvPr id="7" name="Chart 6">
          <a:extLst>
            <a:ext uri="{FF2B5EF4-FFF2-40B4-BE49-F238E27FC236}">
              <a16:creationId xmlns:a16="http://schemas.microsoft.com/office/drawing/2014/main" id="{1B00C913-4C77-DF16-264D-D8D671B38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99060</xdr:colOff>
      <xdr:row>15</xdr:row>
      <xdr:rowOff>26670</xdr:rowOff>
    </xdr:from>
    <xdr:to>
      <xdr:col>24</xdr:col>
      <xdr:colOff>83820</xdr:colOff>
      <xdr:row>27</xdr:row>
      <xdr:rowOff>114300</xdr:rowOff>
    </xdr:to>
    <xdr:graphicFrame macro="">
      <xdr:nvGraphicFramePr>
        <xdr:cNvPr id="8" name="Chart 7">
          <a:extLst>
            <a:ext uri="{FF2B5EF4-FFF2-40B4-BE49-F238E27FC236}">
              <a16:creationId xmlns:a16="http://schemas.microsoft.com/office/drawing/2014/main" id="{9E3D9655-788B-E747-5D12-9E151D3D9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876300</xdr:colOff>
      <xdr:row>10</xdr:row>
      <xdr:rowOff>19050</xdr:rowOff>
    </xdr:from>
    <xdr:to>
      <xdr:col>32</xdr:col>
      <xdr:colOff>594360</xdr:colOff>
      <xdr:row>21</xdr:row>
      <xdr:rowOff>129540</xdr:rowOff>
    </xdr:to>
    <xdr:graphicFrame macro="">
      <xdr:nvGraphicFramePr>
        <xdr:cNvPr id="11" name="Chart 10">
          <a:extLst>
            <a:ext uri="{FF2B5EF4-FFF2-40B4-BE49-F238E27FC236}">
              <a16:creationId xmlns:a16="http://schemas.microsoft.com/office/drawing/2014/main" id="{06B19988-C296-F453-581D-DE88AEB3E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464820</xdr:colOff>
      <xdr:row>28</xdr:row>
      <xdr:rowOff>72390</xdr:rowOff>
    </xdr:from>
    <xdr:to>
      <xdr:col>28</xdr:col>
      <xdr:colOff>434340</xdr:colOff>
      <xdr:row>42</xdr:row>
      <xdr:rowOff>30480</xdr:rowOff>
    </xdr:to>
    <xdr:graphicFrame macro="">
      <xdr:nvGraphicFramePr>
        <xdr:cNvPr id="12" name="Chart 11">
          <a:extLst>
            <a:ext uri="{FF2B5EF4-FFF2-40B4-BE49-F238E27FC236}">
              <a16:creationId xmlns:a16="http://schemas.microsoft.com/office/drawing/2014/main" id="{D8835C9D-CA17-86E7-F9D7-4C253A3C6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1257300</xdr:colOff>
      <xdr:row>29</xdr:row>
      <xdr:rowOff>106680</xdr:rowOff>
    </xdr:from>
    <xdr:to>
      <xdr:col>31</xdr:col>
      <xdr:colOff>83820</xdr:colOff>
      <xdr:row>40</xdr:row>
      <xdr:rowOff>83820</xdr:rowOff>
    </xdr:to>
    <xdr:graphicFrame macro="">
      <xdr:nvGraphicFramePr>
        <xdr:cNvPr id="13" name="Chart 12">
          <a:extLst>
            <a:ext uri="{FF2B5EF4-FFF2-40B4-BE49-F238E27FC236}">
              <a16:creationId xmlns:a16="http://schemas.microsoft.com/office/drawing/2014/main" id="{3E301012-7AC8-05AE-C087-52152D50A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510540</xdr:colOff>
      <xdr:row>32</xdr:row>
      <xdr:rowOff>110490</xdr:rowOff>
    </xdr:from>
    <xdr:to>
      <xdr:col>8</xdr:col>
      <xdr:colOff>60960</xdr:colOff>
      <xdr:row>47</xdr:row>
      <xdr:rowOff>110490</xdr:rowOff>
    </xdr:to>
    <xdr:graphicFrame macro="">
      <xdr:nvGraphicFramePr>
        <xdr:cNvPr id="14" name="Chart 13">
          <a:extLst>
            <a:ext uri="{FF2B5EF4-FFF2-40B4-BE49-F238E27FC236}">
              <a16:creationId xmlns:a16="http://schemas.microsoft.com/office/drawing/2014/main" id="{9B7FCA85-4CAA-BF08-CE54-1C3BB3CF0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175260</xdr:colOff>
      <xdr:row>2</xdr:row>
      <xdr:rowOff>72390</xdr:rowOff>
    </xdr:from>
    <xdr:to>
      <xdr:col>11</xdr:col>
      <xdr:colOff>480060</xdr:colOff>
      <xdr:row>17</xdr:row>
      <xdr:rowOff>72390</xdr:rowOff>
    </xdr:to>
    <xdr:graphicFrame macro="">
      <xdr:nvGraphicFramePr>
        <xdr:cNvPr id="2" name="Chart 1">
          <a:extLst>
            <a:ext uri="{FF2B5EF4-FFF2-40B4-BE49-F238E27FC236}">
              <a16:creationId xmlns:a16="http://schemas.microsoft.com/office/drawing/2014/main" id="{2AF92D0E-9739-0D7A-4035-895FCF068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 refreshedDate="46289.596976967594" createdVersion="8" refreshedVersion="8" minRefreshableVersion="3" recordCount="503" xr:uid="{6B5005BC-7B5F-406B-B778-08E1D4D3BACB}">
  <cacheSource type="worksheet">
    <worksheetSource name="enquiry_analysis_data"/>
  </cacheSource>
  <cacheFields count="20">
    <cacheField name="enquiry_id" numFmtId="0">
      <sharedItems containsSemiMixedTypes="0" containsString="0" containsNumber="1" containsInteger="1" minValue="1" maxValue="503"/>
    </cacheField>
    <cacheField name="enquiry_date" numFmtId="22">
      <sharedItems containsSemiMixedTypes="0" containsNonDate="0" containsDate="1" containsString="0" minDate="2025-01-01T10:43:17" maxDate="2026-09-23T15:04:31"/>
    </cacheField>
    <cacheField name="Enquiry_Month" numFmtId="22">
      <sharedItems count="21">
        <s v="January-2025"/>
        <s v="February-2025"/>
        <s v="March-2025"/>
        <s v="April-2025"/>
        <s v="May-2025"/>
        <s v="June-2025"/>
        <s v="July-2025"/>
        <s v="August-2025"/>
        <s v="September-2025"/>
        <s v="October-2025"/>
        <s v="November-2025"/>
        <s v="December-2025"/>
        <s v="January-2026"/>
        <s v="February-2026"/>
        <s v="March-2026"/>
        <s v="April-2026"/>
        <s v="May-2026"/>
        <s v="June-2026"/>
        <s v="July-2026"/>
        <s v="August-2026"/>
        <s v="September-2026"/>
      </sharedItems>
    </cacheField>
    <cacheField name="Enquiry_Year" numFmtId="0">
      <sharedItems containsSemiMixedTypes="0" containsString="0" containsNumber="1" containsInteger="1" minValue="2025" maxValue="2026" count="2">
        <n v="2025"/>
        <n v="2026"/>
      </sharedItems>
    </cacheField>
    <cacheField name="Enquiry_Month_No" numFmtId="0">
      <sharedItems containsSemiMixedTypes="0" containsString="0" containsNumber="1" containsInteger="1" minValue="1" maxValue="12" count="12">
        <n v="1"/>
        <n v="2"/>
        <n v="3"/>
        <n v="4"/>
        <n v="5"/>
        <n v="6"/>
        <n v="7"/>
        <n v="8"/>
        <n v="9"/>
        <n v="10"/>
        <n v="11"/>
        <n v="12"/>
      </sharedItems>
    </cacheField>
    <cacheField name="student_name" numFmtId="0">
      <sharedItems/>
    </cacheField>
    <cacheField name="email" numFmtId="0">
      <sharedItems/>
    </cacheField>
    <cacheField name="phone" numFmtId="49">
      <sharedItems containsSemiMixedTypes="0" containsString="0" containsNumber="1" containsInteger="1" minValue="8397929177" maxValue="9817123077"/>
    </cacheField>
    <cacheField name="city" numFmtId="0">
      <sharedItems count="11">
        <s v="Noida"/>
        <s v="Delhi"/>
        <s v="Gurugram"/>
        <s v="Ghaziabad"/>
        <s v="Rohtak"/>
        <s v="Karnal"/>
        <s v="Faridabad"/>
        <s v="Sonipat"/>
        <s v="Panipat"/>
        <s v="Bahadurgarh"/>
        <s v="Sonepat"/>
      </sharedItems>
    </cacheField>
    <cacheField name="qualification" numFmtId="0">
      <sharedItems count="6">
        <s v="Graduate"/>
        <s v="Post Graduate"/>
        <s v="12th"/>
        <s v="10th"/>
        <s v="Diploma"/>
        <s v="Other"/>
      </sharedItems>
    </cacheField>
    <cacheField name="age_group" numFmtId="0">
      <sharedItems count="5">
        <s v="18-21"/>
        <s v="22-25"/>
        <s v="26-30"/>
        <s v="31+"/>
        <s v="Below 18"/>
      </sharedItems>
    </cacheField>
    <cacheField name="course_id" numFmtId="0">
      <sharedItems/>
    </cacheField>
    <cacheField name="course_name" numFmtId="0">
      <sharedItems count="15">
        <s v="Data Analytics"/>
        <s v="Digital Marketing"/>
        <s v="AI &amp; Machine Learning"/>
        <s v="Data Science"/>
        <s v="Full Stack Development"/>
        <s v="Tally with GST"/>
        <s v="Python Programming"/>
        <s v="Basic Computer Course"/>
        <s v="Advanced Excel"/>
        <s v="Trading &amp; Financial Market Basics"/>
        <s v="DCA"/>
        <s v="Web Designing"/>
        <s v="Computer Typing"/>
        <s v="Video Editing"/>
        <s v="Graphic Designing"/>
      </sharedItems>
    </cacheField>
    <cacheField name="category" numFmtId="0">
      <sharedItems count="11">
        <s v="Data &amp; Analytics"/>
        <s v="Digital Marketing"/>
        <s v="AI &amp; Machine Learning"/>
        <s v="Web Development"/>
        <s v="Accounting"/>
        <s v="Programming"/>
        <s v="Computer Basics"/>
        <s v="Office &amp; Analytics"/>
        <s v="Finance"/>
        <s v="Computer Applications"/>
        <s v="Creative"/>
      </sharedItems>
    </cacheField>
    <cacheField name="learning_mode" numFmtId="0">
      <sharedItems count="2">
        <s v="Online"/>
        <s v="Offline"/>
      </sharedItems>
    </cacheField>
    <cacheField name="preferred_batch" numFmtId="0">
      <sharedItems count="4">
        <s v="Evening"/>
        <s v="Afternoon"/>
        <s v="Weekend"/>
        <s v="Morning"/>
      </sharedItems>
    </cacheField>
    <cacheField name="lead_source" numFmtId="0">
      <sharedItems count="8">
        <s v="Instagram"/>
        <s v="Other"/>
        <s v="LinkedIn"/>
        <s v="Google Search"/>
        <s v="Walk-in"/>
        <s v="Facebook"/>
        <s v="YouTube"/>
        <s v="Referral"/>
      </sharedItems>
    </cacheField>
    <cacheField name="enquiry_status" numFmtId="0">
      <sharedItems count="6">
        <s v="Contacted"/>
        <s v="Follow-up"/>
        <s v="Interested"/>
        <s v="Converted"/>
        <s v="New"/>
        <s v="Lost"/>
      </sharedItems>
    </cacheField>
    <cacheField name="Converted_Flag" numFmtId="0">
      <sharedItems containsSemiMixedTypes="0" containsString="0" containsNumber="1" containsInteger="1" minValue="0" maxValue="1"/>
    </cacheField>
    <cacheField name="data_source" numFmtId="0">
      <sharedItems/>
    </cacheField>
  </cacheFields>
  <extLst>
    <ext xmlns:x14="http://schemas.microsoft.com/office/spreadsheetml/2009/9/main" uri="{725AE2AE-9491-48be-B2B4-4EB974FC3084}">
      <x14:pivotCacheDefinition pivotCacheId="389604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429"/>
    <d v="2025-01-01T10:43:17"/>
    <x v="0"/>
    <x v="0"/>
    <x v="0"/>
    <s v="Sahil Gupta"/>
    <s v="demo.student426.sahilgupta@example.com"/>
    <n v="9000000426"/>
    <x v="0"/>
    <x v="0"/>
    <x v="0"/>
    <s v="CRS001"/>
    <x v="0"/>
    <x v="0"/>
    <x v="0"/>
    <x v="0"/>
    <x v="0"/>
    <x v="0"/>
    <n v="0"/>
    <s v="Synthetic"/>
  </r>
  <r>
    <n v="456"/>
    <d v="2025-01-01T12:38:48"/>
    <x v="0"/>
    <x v="0"/>
    <x v="0"/>
    <s v="Rahul Malik"/>
    <s v="demo.student453.rahulmalik@example.com"/>
    <n v="9000000453"/>
    <x v="1"/>
    <x v="1"/>
    <x v="1"/>
    <s v="CRS007"/>
    <x v="1"/>
    <x v="1"/>
    <x v="0"/>
    <x v="1"/>
    <x v="1"/>
    <x v="0"/>
    <n v="0"/>
    <s v="Synthetic"/>
  </r>
  <r>
    <n v="175"/>
    <d v="2025-01-04T01:44:48"/>
    <x v="0"/>
    <x v="0"/>
    <x v="0"/>
    <s v="Rohit Dahiya"/>
    <s v="demo.student172.rohitdahiya@example.com"/>
    <n v="9000000172"/>
    <x v="1"/>
    <x v="0"/>
    <x v="0"/>
    <s v="CRS004"/>
    <x v="2"/>
    <x v="2"/>
    <x v="1"/>
    <x v="2"/>
    <x v="2"/>
    <x v="1"/>
    <n v="0"/>
    <s v="Synthetic"/>
  </r>
  <r>
    <n v="202"/>
    <d v="2025-01-05T09:50:45"/>
    <x v="0"/>
    <x v="0"/>
    <x v="0"/>
    <s v="Riya Yadav"/>
    <s v="demo.student199.riyayadav@example.com"/>
    <n v="9000000199"/>
    <x v="2"/>
    <x v="2"/>
    <x v="0"/>
    <s v="CRS002"/>
    <x v="3"/>
    <x v="0"/>
    <x v="1"/>
    <x v="3"/>
    <x v="3"/>
    <x v="1"/>
    <n v="0"/>
    <s v="Synthetic"/>
  </r>
  <r>
    <n v="165"/>
    <d v="2025-01-06T16:19:21"/>
    <x v="0"/>
    <x v="0"/>
    <x v="0"/>
    <s v="Diya Malik"/>
    <s v="demo.student162.diyamalik@example.com"/>
    <n v="9000000162"/>
    <x v="2"/>
    <x v="2"/>
    <x v="0"/>
    <s v="CRS004"/>
    <x v="2"/>
    <x v="2"/>
    <x v="1"/>
    <x v="0"/>
    <x v="1"/>
    <x v="2"/>
    <n v="0"/>
    <s v="Synthetic"/>
  </r>
  <r>
    <n v="62"/>
    <d v="2025-01-07T15:57:25"/>
    <x v="0"/>
    <x v="0"/>
    <x v="0"/>
    <s v="Aditi Chauhan"/>
    <s v="demo.student059.aditichauhan@example.com"/>
    <n v="9000000059"/>
    <x v="3"/>
    <x v="1"/>
    <x v="1"/>
    <s v="CRS005"/>
    <x v="4"/>
    <x v="3"/>
    <x v="0"/>
    <x v="2"/>
    <x v="4"/>
    <x v="0"/>
    <n v="0"/>
    <s v="Synthetic"/>
  </r>
  <r>
    <n v="500"/>
    <d v="2025-01-10T03:35:46"/>
    <x v="0"/>
    <x v="0"/>
    <x v="0"/>
    <s v="Prachi Dahiya"/>
    <s v="demo.student497.prachidahiya@example.com"/>
    <n v="9000000497"/>
    <x v="4"/>
    <x v="1"/>
    <x v="2"/>
    <s v="CRS004"/>
    <x v="2"/>
    <x v="2"/>
    <x v="1"/>
    <x v="3"/>
    <x v="0"/>
    <x v="3"/>
    <n v="1"/>
    <s v="Synthetic"/>
  </r>
  <r>
    <n v="461"/>
    <d v="2025-01-10T06:09:08"/>
    <x v="0"/>
    <x v="0"/>
    <x v="0"/>
    <s v="Manish Mehta"/>
    <s v="demo.student458.manishmehta@example.com"/>
    <n v="9000000458"/>
    <x v="5"/>
    <x v="2"/>
    <x v="1"/>
    <s v="CRS010"/>
    <x v="5"/>
    <x v="4"/>
    <x v="0"/>
    <x v="0"/>
    <x v="2"/>
    <x v="3"/>
    <n v="1"/>
    <s v="Synthetic"/>
  </r>
  <r>
    <n v="75"/>
    <d v="2025-01-12T22:00:59"/>
    <x v="0"/>
    <x v="0"/>
    <x v="0"/>
    <s v="Deepak Bansal"/>
    <s v="demo.student072.deepakbansal@example.com"/>
    <n v="9000000072"/>
    <x v="6"/>
    <x v="1"/>
    <x v="2"/>
    <s v="CRS003"/>
    <x v="6"/>
    <x v="5"/>
    <x v="0"/>
    <x v="0"/>
    <x v="3"/>
    <x v="3"/>
    <n v="1"/>
    <s v="Synthetic"/>
  </r>
  <r>
    <n v="10"/>
    <d v="2025-01-20T08:19:20"/>
    <x v="0"/>
    <x v="0"/>
    <x v="0"/>
    <s v="Nikhil Kumar"/>
    <s v="demo.student007.nikhilkumar@example.com"/>
    <n v="9000000007"/>
    <x v="1"/>
    <x v="0"/>
    <x v="2"/>
    <s v="CRS003"/>
    <x v="6"/>
    <x v="5"/>
    <x v="1"/>
    <x v="3"/>
    <x v="5"/>
    <x v="3"/>
    <n v="1"/>
    <s v="Synthetic"/>
  </r>
  <r>
    <n v="363"/>
    <d v="2025-01-20T13:32:53"/>
    <x v="0"/>
    <x v="0"/>
    <x v="0"/>
    <s v="Riya Gupta"/>
    <s v="demo.student360.riyagupta@example.com"/>
    <n v="9000000360"/>
    <x v="0"/>
    <x v="1"/>
    <x v="1"/>
    <s v="CRS005"/>
    <x v="4"/>
    <x v="3"/>
    <x v="1"/>
    <x v="2"/>
    <x v="5"/>
    <x v="2"/>
    <n v="0"/>
    <s v="Synthetic"/>
  </r>
  <r>
    <n v="43"/>
    <d v="2025-01-21T11:09:23"/>
    <x v="0"/>
    <x v="0"/>
    <x v="0"/>
    <s v="Saksham Mehta"/>
    <s v="demo.student040.sakshammehta@example.com"/>
    <n v="9000000040"/>
    <x v="7"/>
    <x v="2"/>
    <x v="0"/>
    <s v="CRS005"/>
    <x v="4"/>
    <x v="3"/>
    <x v="0"/>
    <x v="0"/>
    <x v="2"/>
    <x v="1"/>
    <n v="0"/>
    <s v="Synthetic"/>
  </r>
  <r>
    <n v="219"/>
    <d v="2025-01-24T01:11:00"/>
    <x v="0"/>
    <x v="0"/>
    <x v="0"/>
    <s v="Kajal Bansal"/>
    <s v="demo.student216.kajalbansal@example.com"/>
    <n v="9000000216"/>
    <x v="3"/>
    <x v="1"/>
    <x v="1"/>
    <s v="CRS007"/>
    <x v="1"/>
    <x v="1"/>
    <x v="1"/>
    <x v="2"/>
    <x v="0"/>
    <x v="3"/>
    <n v="1"/>
    <s v="Synthetic"/>
  </r>
  <r>
    <n v="283"/>
    <d v="2025-01-26T12:39:29"/>
    <x v="0"/>
    <x v="0"/>
    <x v="0"/>
    <s v="Rohit Chauhan"/>
    <s v="demo.student280.rohitchauhan@example.com"/>
    <n v="9000000280"/>
    <x v="8"/>
    <x v="0"/>
    <x v="3"/>
    <s v="CRS010"/>
    <x v="5"/>
    <x v="4"/>
    <x v="0"/>
    <x v="3"/>
    <x v="4"/>
    <x v="3"/>
    <n v="1"/>
    <s v="Synthetic"/>
  </r>
  <r>
    <n v="493"/>
    <d v="2025-01-26T13:34:40"/>
    <x v="0"/>
    <x v="0"/>
    <x v="0"/>
    <s v="Ananya Bansal"/>
    <s v="demo.student490.ananyabansal@example.com"/>
    <n v="9000000490"/>
    <x v="3"/>
    <x v="0"/>
    <x v="0"/>
    <s v="CRS003"/>
    <x v="6"/>
    <x v="5"/>
    <x v="1"/>
    <x v="0"/>
    <x v="4"/>
    <x v="3"/>
    <n v="1"/>
    <s v="Synthetic"/>
  </r>
  <r>
    <n v="197"/>
    <d v="2025-01-26T22:20:01"/>
    <x v="0"/>
    <x v="0"/>
    <x v="0"/>
    <s v="Muskan Saini"/>
    <s v="demo.student194.muskansaini@example.com"/>
    <n v="9000000194"/>
    <x v="8"/>
    <x v="1"/>
    <x v="1"/>
    <s v="CRS011"/>
    <x v="7"/>
    <x v="6"/>
    <x v="1"/>
    <x v="3"/>
    <x v="1"/>
    <x v="3"/>
    <n v="1"/>
    <s v="Synthetic"/>
  </r>
  <r>
    <n v="287"/>
    <d v="2025-01-27T07:51:34"/>
    <x v="0"/>
    <x v="0"/>
    <x v="0"/>
    <s v="Isha Malik"/>
    <s v="demo.student284.ishamalik@example.com"/>
    <n v="9000000284"/>
    <x v="2"/>
    <x v="3"/>
    <x v="4"/>
    <s v="CRS014"/>
    <x v="8"/>
    <x v="7"/>
    <x v="1"/>
    <x v="3"/>
    <x v="3"/>
    <x v="3"/>
    <n v="1"/>
    <s v="Synthetic"/>
  </r>
  <r>
    <n v="161"/>
    <d v="2025-01-29T14:25:25"/>
    <x v="0"/>
    <x v="0"/>
    <x v="0"/>
    <s v="Sahil Saini"/>
    <s v="demo.student158.sahilsaini@example.com"/>
    <n v="9000000158"/>
    <x v="5"/>
    <x v="1"/>
    <x v="2"/>
    <s v="CRS015"/>
    <x v="9"/>
    <x v="8"/>
    <x v="0"/>
    <x v="0"/>
    <x v="4"/>
    <x v="4"/>
    <n v="0"/>
    <s v="Synthetic"/>
  </r>
  <r>
    <n v="484"/>
    <d v="2025-01-31T20:42:11"/>
    <x v="0"/>
    <x v="0"/>
    <x v="0"/>
    <s v="Mehak Dahiya"/>
    <s v="demo.student481.mehakdahiya@example.com"/>
    <n v="9000000481"/>
    <x v="0"/>
    <x v="0"/>
    <x v="1"/>
    <s v="CRS012"/>
    <x v="10"/>
    <x v="9"/>
    <x v="1"/>
    <x v="1"/>
    <x v="0"/>
    <x v="4"/>
    <n v="0"/>
    <s v="Synthetic"/>
  </r>
  <r>
    <n v="329"/>
    <d v="2025-01-31T23:34:32"/>
    <x v="0"/>
    <x v="0"/>
    <x v="0"/>
    <s v="Prachi Mehta"/>
    <s v="demo.student326.prachimehta@example.com"/>
    <n v="9000000326"/>
    <x v="0"/>
    <x v="0"/>
    <x v="1"/>
    <s v="CRS003"/>
    <x v="6"/>
    <x v="5"/>
    <x v="0"/>
    <x v="2"/>
    <x v="0"/>
    <x v="0"/>
    <n v="0"/>
    <s v="Synthetic"/>
  </r>
  <r>
    <n v="444"/>
    <d v="2025-02-01T01:07:11"/>
    <x v="1"/>
    <x v="0"/>
    <x v="1"/>
    <s v="Riya Yadav"/>
    <s v="demo.student441.riyayadav@example.com"/>
    <n v="9000000441"/>
    <x v="9"/>
    <x v="1"/>
    <x v="2"/>
    <s v="CRS005"/>
    <x v="4"/>
    <x v="3"/>
    <x v="1"/>
    <x v="2"/>
    <x v="3"/>
    <x v="3"/>
    <n v="1"/>
    <s v="Synthetic"/>
  </r>
  <r>
    <n v="441"/>
    <d v="2025-02-02T23:48:47"/>
    <x v="1"/>
    <x v="0"/>
    <x v="1"/>
    <s v="Deepak Jain"/>
    <s v="demo.student438.deepakjain@example.com"/>
    <n v="9000000438"/>
    <x v="3"/>
    <x v="1"/>
    <x v="2"/>
    <s v="CRS001"/>
    <x v="0"/>
    <x v="0"/>
    <x v="1"/>
    <x v="1"/>
    <x v="0"/>
    <x v="2"/>
    <n v="0"/>
    <s v="Synthetic"/>
  </r>
  <r>
    <n v="381"/>
    <d v="2025-02-03T15:00:25"/>
    <x v="1"/>
    <x v="0"/>
    <x v="1"/>
    <s v="Manish Verma"/>
    <s v="demo.student378.manishverma@example.com"/>
    <n v="9000000378"/>
    <x v="4"/>
    <x v="4"/>
    <x v="0"/>
    <s v="CRS004"/>
    <x v="2"/>
    <x v="2"/>
    <x v="1"/>
    <x v="2"/>
    <x v="5"/>
    <x v="4"/>
    <n v="0"/>
    <s v="Synthetic"/>
  </r>
  <r>
    <n v="69"/>
    <d v="2025-02-05T14:19:32"/>
    <x v="1"/>
    <x v="0"/>
    <x v="1"/>
    <s v="Nikhil Bansal"/>
    <s v="demo.student066.nikhilbansal@example.com"/>
    <n v="9000000066"/>
    <x v="1"/>
    <x v="0"/>
    <x v="1"/>
    <s v="CRS003"/>
    <x v="6"/>
    <x v="5"/>
    <x v="1"/>
    <x v="3"/>
    <x v="3"/>
    <x v="0"/>
    <n v="0"/>
    <s v="Synthetic"/>
  </r>
  <r>
    <n v="462"/>
    <d v="2025-02-09T14:45:27"/>
    <x v="1"/>
    <x v="0"/>
    <x v="1"/>
    <s v="Nisha Dahiya"/>
    <s v="demo.student459.nishadahiya@example.com"/>
    <n v="9000000459"/>
    <x v="5"/>
    <x v="1"/>
    <x v="1"/>
    <s v="CRS003"/>
    <x v="6"/>
    <x v="5"/>
    <x v="0"/>
    <x v="1"/>
    <x v="0"/>
    <x v="0"/>
    <n v="0"/>
    <s v="Synthetic"/>
  </r>
  <r>
    <n v="183"/>
    <d v="2025-02-10T09:42:44"/>
    <x v="1"/>
    <x v="0"/>
    <x v="1"/>
    <s v="Arjun Dahiya"/>
    <s v="demo.student180.arjundahiya@example.com"/>
    <n v="9000000180"/>
    <x v="2"/>
    <x v="0"/>
    <x v="2"/>
    <s v="CRS004"/>
    <x v="2"/>
    <x v="2"/>
    <x v="0"/>
    <x v="3"/>
    <x v="3"/>
    <x v="3"/>
    <n v="1"/>
    <s v="Synthetic"/>
  </r>
  <r>
    <n v="199"/>
    <d v="2025-02-12T01:58:26"/>
    <x v="1"/>
    <x v="0"/>
    <x v="1"/>
    <s v="Arjun Dahiya"/>
    <s v="demo.student196.arjundahiya@example.com"/>
    <n v="9000000196"/>
    <x v="7"/>
    <x v="0"/>
    <x v="2"/>
    <s v="CRS006"/>
    <x v="11"/>
    <x v="3"/>
    <x v="0"/>
    <x v="0"/>
    <x v="6"/>
    <x v="2"/>
    <n v="0"/>
    <s v="Synthetic"/>
  </r>
  <r>
    <n v="312"/>
    <d v="2025-02-14T11:21:23"/>
    <x v="1"/>
    <x v="0"/>
    <x v="1"/>
    <s v="Karan Singh"/>
    <s v="demo.student309.karansingh@example.com"/>
    <n v="9000000309"/>
    <x v="3"/>
    <x v="0"/>
    <x v="1"/>
    <s v="CRS004"/>
    <x v="2"/>
    <x v="2"/>
    <x v="1"/>
    <x v="1"/>
    <x v="7"/>
    <x v="4"/>
    <n v="0"/>
    <s v="Synthetic"/>
  </r>
  <r>
    <n v="125"/>
    <d v="2025-02-14T22:13:54"/>
    <x v="1"/>
    <x v="0"/>
    <x v="1"/>
    <s v="Saksham Gupta"/>
    <s v="demo.student122.sakshamgupta@example.com"/>
    <n v="9000000122"/>
    <x v="7"/>
    <x v="0"/>
    <x v="1"/>
    <s v="CRS013"/>
    <x v="12"/>
    <x v="6"/>
    <x v="1"/>
    <x v="0"/>
    <x v="5"/>
    <x v="2"/>
    <n v="0"/>
    <s v="Synthetic"/>
  </r>
  <r>
    <n v="72"/>
    <d v="2025-02-17T09:44:07"/>
    <x v="1"/>
    <x v="0"/>
    <x v="1"/>
    <s v="Yash Saini"/>
    <s v="demo.student069.yashsaini@example.com"/>
    <n v="9000000069"/>
    <x v="5"/>
    <x v="0"/>
    <x v="3"/>
    <s v="CRS006"/>
    <x v="11"/>
    <x v="3"/>
    <x v="0"/>
    <x v="2"/>
    <x v="3"/>
    <x v="3"/>
    <n v="1"/>
    <s v="Synthetic"/>
  </r>
  <r>
    <n v="235"/>
    <d v="2025-02-19T13:34:10"/>
    <x v="1"/>
    <x v="0"/>
    <x v="1"/>
    <s v="Simran Bansal"/>
    <s v="demo.student232.simranbansal@example.com"/>
    <n v="9000000232"/>
    <x v="0"/>
    <x v="0"/>
    <x v="1"/>
    <s v="CRS006"/>
    <x v="11"/>
    <x v="3"/>
    <x v="1"/>
    <x v="1"/>
    <x v="5"/>
    <x v="3"/>
    <n v="1"/>
    <s v="Synthetic"/>
  </r>
  <r>
    <n v="172"/>
    <d v="2025-02-19T21:34:15"/>
    <x v="1"/>
    <x v="0"/>
    <x v="1"/>
    <s v="Anjali Sharma"/>
    <s v="demo.student169.anjalisharma@example.com"/>
    <n v="9000000169"/>
    <x v="0"/>
    <x v="1"/>
    <x v="1"/>
    <s v="CRS012"/>
    <x v="10"/>
    <x v="9"/>
    <x v="1"/>
    <x v="2"/>
    <x v="3"/>
    <x v="3"/>
    <n v="1"/>
    <s v="Synthetic"/>
  </r>
  <r>
    <n v="253"/>
    <d v="2025-02-19T23:39:36"/>
    <x v="1"/>
    <x v="0"/>
    <x v="1"/>
    <s v="Pooja Khatri"/>
    <s v="demo.student250.poojakhatri@example.com"/>
    <n v="9000000250"/>
    <x v="2"/>
    <x v="0"/>
    <x v="1"/>
    <s v="CRS009"/>
    <x v="13"/>
    <x v="10"/>
    <x v="0"/>
    <x v="2"/>
    <x v="5"/>
    <x v="1"/>
    <n v="0"/>
    <s v="Synthetic"/>
  </r>
  <r>
    <n v="269"/>
    <d v="2025-02-20T10:50:45"/>
    <x v="1"/>
    <x v="0"/>
    <x v="1"/>
    <s v="Mohit Saini"/>
    <s v="demo.student266.mohitsaini@example.com"/>
    <n v="9000000266"/>
    <x v="4"/>
    <x v="1"/>
    <x v="2"/>
    <s v="CRS001"/>
    <x v="0"/>
    <x v="0"/>
    <x v="1"/>
    <x v="1"/>
    <x v="3"/>
    <x v="3"/>
    <n v="1"/>
    <s v="Synthetic"/>
  </r>
  <r>
    <n v="118"/>
    <d v="2025-02-22T20:24:05"/>
    <x v="1"/>
    <x v="0"/>
    <x v="1"/>
    <s v="Mohit Mehta"/>
    <s v="demo.student115.mohitmehta@example.com"/>
    <n v="9000000115"/>
    <x v="6"/>
    <x v="3"/>
    <x v="4"/>
    <s v="CRS013"/>
    <x v="12"/>
    <x v="6"/>
    <x v="1"/>
    <x v="0"/>
    <x v="3"/>
    <x v="3"/>
    <n v="1"/>
    <s v="Synthetic"/>
  </r>
  <r>
    <n v="360"/>
    <d v="2025-02-23T07:54:05"/>
    <x v="1"/>
    <x v="0"/>
    <x v="1"/>
    <s v="Varun Kumar"/>
    <s v="demo.student357.varunkumar@example.com"/>
    <n v="9000000357"/>
    <x v="0"/>
    <x v="4"/>
    <x v="3"/>
    <s v="CRS009"/>
    <x v="13"/>
    <x v="10"/>
    <x v="1"/>
    <x v="3"/>
    <x v="0"/>
    <x v="1"/>
    <n v="0"/>
    <s v="Synthetic"/>
  </r>
  <r>
    <n v="422"/>
    <d v="2025-02-25T18:57:00"/>
    <x v="1"/>
    <x v="0"/>
    <x v="1"/>
    <s v="Sahil Bansal"/>
    <s v="demo.student419.sahilbansal@example.com"/>
    <n v="9000000419"/>
    <x v="7"/>
    <x v="4"/>
    <x v="1"/>
    <s v="CRS007"/>
    <x v="1"/>
    <x v="1"/>
    <x v="0"/>
    <x v="0"/>
    <x v="0"/>
    <x v="1"/>
    <n v="0"/>
    <s v="Synthetic"/>
  </r>
  <r>
    <n v="169"/>
    <d v="2025-03-03T00:56:24"/>
    <x v="2"/>
    <x v="0"/>
    <x v="2"/>
    <s v="Varun Malik"/>
    <s v="demo.student166.varunmalik@example.com"/>
    <n v="9000000166"/>
    <x v="3"/>
    <x v="4"/>
    <x v="1"/>
    <s v="CRS006"/>
    <x v="11"/>
    <x v="3"/>
    <x v="0"/>
    <x v="1"/>
    <x v="3"/>
    <x v="3"/>
    <n v="1"/>
    <s v="Synthetic"/>
  </r>
  <r>
    <n v="421"/>
    <d v="2025-03-03T06:37:19"/>
    <x v="2"/>
    <x v="0"/>
    <x v="2"/>
    <s v="Sonam Khatri"/>
    <s v="demo.student418.sonamkhatri@example.com"/>
    <n v="9000000418"/>
    <x v="5"/>
    <x v="0"/>
    <x v="2"/>
    <s v="CRS015"/>
    <x v="9"/>
    <x v="8"/>
    <x v="1"/>
    <x v="1"/>
    <x v="4"/>
    <x v="3"/>
    <n v="1"/>
    <s v="Synthetic"/>
  </r>
  <r>
    <n v="123"/>
    <d v="2025-03-03T16:18:21"/>
    <x v="2"/>
    <x v="0"/>
    <x v="2"/>
    <s v="Muskan Khatri"/>
    <s v="demo.student120.muskankhatri@example.com"/>
    <n v="9000000120"/>
    <x v="5"/>
    <x v="4"/>
    <x v="0"/>
    <s v="CRS007"/>
    <x v="1"/>
    <x v="1"/>
    <x v="0"/>
    <x v="0"/>
    <x v="0"/>
    <x v="2"/>
    <n v="0"/>
    <s v="Synthetic"/>
  </r>
  <r>
    <n v="37"/>
    <d v="2025-03-08T12:53:13"/>
    <x v="2"/>
    <x v="0"/>
    <x v="2"/>
    <s v="Gaurav Singh"/>
    <s v="demo.student034.gauravsingh@example.com"/>
    <n v="9000000034"/>
    <x v="4"/>
    <x v="4"/>
    <x v="2"/>
    <s v="CRS005"/>
    <x v="4"/>
    <x v="3"/>
    <x v="1"/>
    <x v="1"/>
    <x v="7"/>
    <x v="4"/>
    <n v="0"/>
    <s v="Synthetic"/>
  </r>
  <r>
    <n v="28"/>
    <d v="2025-03-09T16:30:48"/>
    <x v="2"/>
    <x v="0"/>
    <x v="2"/>
    <s v="Nisha Chauhan"/>
    <s v="demo.student025.nishachauhan@example.com"/>
    <n v="9000000025"/>
    <x v="2"/>
    <x v="0"/>
    <x v="0"/>
    <s v="CRS015"/>
    <x v="9"/>
    <x v="8"/>
    <x v="0"/>
    <x v="2"/>
    <x v="2"/>
    <x v="4"/>
    <n v="0"/>
    <s v="Synthetic"/>
  </r>
  <r>
    <n v="402"/>
    <d v="2025-03-09T19:52:02"/>
    <x v="2"/>
    <x v="0"/>
    <x v="2"/>
    <s v="Rahul Kumar"/>
    <s v="demo.student399.rahulkumar@example.com"/>
    <n v="9000000399"/>
    <x v="2"/>
    <x v="1"/>
    <x v="1"/>
    <s v="CRS003"/>
    <x v="6"/>
    <x v="5"/>
    <x v="1"/>
    <x v="2"/>
    <x v="0"/>
    <x v="3"/>
    <n v="1"/>
    <s v="Synthetic"/>
  </r>
  <r>
    <n v="241"/>
    <d v="2025-03-11T18:15:07"/>
    <x v="2"/>
    <x v="0"/>
    <x v="2"/>
    <s v="Diya Malik"/>
    <s v="demo.student238.diyamalik@example.com"/>
    <n v="9000000238"/>
    <x v="7"/>
    <x v="3"/>
    <x v="4"/>
    <s v="CRS007"/>
    <x v="1"/>
    <x v="1"/>
    <x v="1"/>
    <x v="0"/>
    <x v="3"/>
    <x v="3"/>
    <n v="1"/>
    <s v="Synthetic"/>
  </r>
  <r>
    <n v="465"/>
    <d v="2025-03-11T23:09:55"/>
    <x v="2"/>
    <x v="0"/>
    <x v="2"/>
    <s v="Saksham Yadav"/>
    <s v="demo.student462.sakshamyadav@example.com"/>
    <n v="9000000462"/>
    <x v="7"/>
    <x v="0"/>
    <x v="1"/>
    <s v="CRS010"/>
    <x v="5"/>
    <x v="4"/>
    <x v="1"/>
    <x v="0"/>
    <x v="0"/>
    <x v="4"/>
    <n v="0"/>
    <s v="Synthetic"/>
  </r>
  <r>
    <n v="403"/>
    <d v="2025-03-12T09:48:48"/>
    <x v="2"/>
    <x v="0"/>
    <x v="2"/>
    <s v="Varun Sharma"/>
    <s v="demo.student400.varunsharma@example.com"/>
    <n v="9000000400"/>
    <x v="0"/>
    <x v="0"/>
    <x v="2"/>
    <s v="CRS002"/>
    <x v="3"/>
    <x v="0"/>
    <x v="1"/>
    <x v="0"/>
    <x v="1"/>
    <x v="3"/>
    <n v="1"/>
    <s v="Synthetic"/>
  </r>
  <r>
    <n v="292"/>
    <d v="2025-03-13T03:54:52"/>
    <x v="2"/>
    <x v="0"/>
    <x v="2"/>
    <s v="Sneha Malik"/>
    <s v="demo.student289.snehamalik@example.com"/>
    <n v="9000000289"/>
    <x v="0"/>
    <x v="0"/>
    <x v="2"/>
    <s v="CRS005"/>
    <x v="4"/>
    <x v="3"/>
    <x v="1"/>
    <x v="2"/>
    <x v="0"/>
    <x v="2"/>
    <n v="0"/>
    <s v="Synthetic"/>
  </r>
  <r>
    <n v="86"/>
    <d v="2025-03-13T15:29:13"/>
    <x v="2"/>
    <x v="0"/>
    <x v="2"/>
    <s v="Anjali Singh"/>
    <s v="demo.student083.anjalisingh@example.com"/>
    <n v="9000000083"/>
    <x v="0"/>
    <x v="0"/>
    <x v="2"/>
    <s v="CRS001"/>
    <x v="0"/>
    <x v="0"/>
    <x v="1"/>
    <x v="2"/>
    <x v="0"/>
    <x v="3"/>
    <n v="1"/>
    <s v="Synthetic"/>
  </r>
  <r>
    <n v="288"/>
    <d v="2025-03-14T16:35:49"/>
    <x v="2"/>
    <x v="0"/>
    <x v="2"/>
    <s v="Riya Singh"/>
    <s v="demo.student285.riyasingh@example.com"/>
    <n v="9000000285"/>
    <x v="6"/>
    <x v="0"/>
    <x v="2"/>
    <s v="CRS009"/>
    <x v="13"/>
    <x v="10"/>
    <x v="1"/>
    <x v="3"/>
    <x v="0"/>
    <x v="3"/>
    <n v="1"/>
    <s v="Synthetic"/>
  </r>
  <r>
    <n v="141"/>
    <d v="2025-03-17T13:42:00"/>
    <x v="2"/>
    <x v="0"/>
    <x v="2"/>
    <s v="Deepak Gupta"/>
    <s v="demo.student138.deepakgupta@example.com"/>
    <n v="9000000138"/>
    <x v="1"/>
    <x v="0"/>
    <x v="1"/>
    <s v="CRS003"/>
    <x v="6"/>
    <x v="5"/>
    <x v="1"/>
    <x v="2"/>
    <x v="3"/>
    <x v="3"/>
    <n v="1"/>
    <s v="Synthetic"/>
  </r>
  <r>
    <n v="57"/>
    <d v="2025-03-18T20:06:46"/>
    <x v="2"/>
    <x v="0"/>
    <x v="2"/>
    <s v="Neha Kumar"/>
    <s v="demo.student054.nehakumar@example.com"/>
    <n v="9000000054"/>
    <x v="7"/>
    <x v="0"/>
    <x v="2"/>
    <s v="CRS007"/>
    <x v="1"/>
    <x v="1"/>
    <x v="1"/>
    <x v="3"/>
    <x v="3"/>
    <x v="3"/>
    <n v="1"/>
    <s v="Synthetic"/>
  </r>
  <r>
    <n v="398"/>
    <d v="2025-03-20T06:19:44"/>
    <x v="2"/>
    <x v="0"/>
    <x v="2"/>
    <s v="Manish Malik"/>
    <s v="demo.student395.manishmalik@example.com"/>
    <n v="9000000395"/>
    <x v="4"/>
    <x v="0"/>
    <x v="2"/>
    <s v="CRS003"/>
    <x v="6"/>
    <x v="5"/>
    <x v="1"/>
    <x v="3"/>
    <x v="3"/>
    <x v="5"/>
    <n v="0"/>
    <s v="Synthetic"/>
  </r>
  <r>
    <n v="414"/>
    <d v="2025-03-20T15:04:32"/>
    <x v="2"/>
    <x v="0"/>
    <x v="2"/>
    <s v="Aarav Bansal"/>
    <s v="demo.student411.aaravbansal@example.com"/>
    <n v="9000000411"/>
    <x v="6"/>
    <x v="2"/>
    <x v="0"/>
    <s v="CRS010"/>
    <x v="5"/>
    <x v="4"/>
    <x v="1"/>
    <x v="1"/>
    <x v="2"/>
    <x v="1"/>
    <n v="0"/>
    <s v="Synthetic"/>
  </r>
  <r>
    <n v="299"/>
    <d v="2025-03-20T19:35:53"/>
    <x v="2"/>
    <x v="0"/>
    <x v="2"/>
    <s v="Ayush Saini"/>
    <s v="demo.student296.ayushsaini@example.com"/>
    <n v="9000000296"/>
    <x v="2"/>
    <x v="0"/>
    <x v="0"/>
    <s v="CRS013"/>
    <x v="12"/>
    <x v="6"/>
    <x v="1"/>
    <x v="2"/>
    <x v="0"/>
    <x v="4"/>
    <n v="0"/>
    <s v="Synthetic"/>
  </r>
  <r>
    <n v="382"/>
    <d v="2025-03-22T13:15:13"/>
    <x v="2"/>
    <x v="0"/>
    <x v="2"/>
    <s v="Akash Sharma"/>
    <s v="demo.student379.akashsharma@example.com"/>
    <n v="9000000379"/>
    <x v="0"/>
    <x v="0"/>
    <x v="3"/>
    <s v="CRS006"/>
    <x v="11"/>
    <x v="3"/>
    <x v="1"/>
    <x v="0"/>
    <x v="2"/>
    <x v="1"/>
    <n v="0"/>
    <s v="Synthetic"/>
  </r>
  <r>
    <n v="83"/>
    <d v="2025-03-22T20:15:16"/>
    <x v="2"/>
    <x v="0"/>
    <x v="2"/>
    <s v="Ananya Gupta"/>
    <s v="demo.student080.ananyagupta@example.com"/>
    <n v="9000000080"/>
    <x v="3"/>
    <x v="0"/>
    <x v="1"/>
    <s v="CRS006"/>
    <x v="11"/>
    <x v="3"/>
    <x v="0"/>
    <x v="2"/>
    <x v="3"/>
    <x v="0"/>
    <n v="0"/>
    <s v="Synthetic"/>
  </r>
  <r>
    <n v="45"/>
    <d v="2025-03-23T14:52:59"/>
    <x v="2"/>
    <x v="0"/>
    <x v="2"/>
    <s v="Prachi Jain"/>
    <s v="demo.student042.prachijain@example.com"/>
    <n v="9000000042"/>
    <x v="8"/>
    <x v="2"/>
    <x v="0"/>
    <s v="CRS011"/>
    <x v="7"/>
    <x v="6"/>
    <x v="1"/>
    <x v="0"/>
    <x v="7"/>
    <x v="2"/>
    <n v="0"/>
    <s v="Synthetic"/>
  </r>
  <r>
    <n v="144"/>
    <d v="2025-03-25T20:53:27"/>
    <x v="2"/>
    <x v="0"/>
    <x v="2"/>
    <s v="Sneha Gupta"/>
    <s v="demo.student141.snehagupta@example.com"/>
    <n v="9000000141"/>
    <x v="5"/>
    <x v="4"/>
    <x v="1"/>
    <s v="CRS014"/>
    <x v="8"/>
    <x v="7"/>
    <x v="1"/>
    <x v="0"/>
    <x v="7"/>
    <x v="1"/>
    <n v="0"/>
    <s v="Synthetic"/>
  </r>
  <r>
    <n v="468"/>
    <d v="2025-03-28T19:22:19"/>
    <x v="2"/>
    <x v="0"/>
    <x v="2"/>
    <s v="Neha Sharma"/>
    <s v="demo.student465.nehasharma@example.com"/>
    <n v="9000000465"/>
    <x v="2"/>
    <x v="4"/>
    <x v="0"/>
    <s v="CRS013"/>
    <x v="12"/>
    <x v="6"/>
    <x v="1"/>
    <x v="0"/>
    <x v="3"/>
    <x v="1"/>
    <n v="0"/>
    <s v="Synthetic"/>
  </r>
  <r>
    <n v="49"/>
    <d v="2025-03-30T12:04:06"/>
    <x v="2"/>
    <x v="0"/>
    <x v="2"/>
    <s v="Sahil Verma"/>
    <s v="demo.student046.sahilverma@example.com"/>
    <n v="9000000046"/>
    <x v="9"/>
    <x v="0"/>
    <x v="0"/>
    <s v="CRS014"/>
    <x v="8"/>
    <x v="7"/>
    <x v="0"/>
    <x v="2"/>
    <x v="4"/>
    <x v="1"/>
    <n v="0"/>
    <s v="Synthetic"/>
  </r>
  <r>
    <n v="76"/>
    <d v="2025-03-30T15:34:35"/>
    <x v="2"/>
    <x v="0"/>
    <x v="2"/>
    <s v="Ananya Singh"/>
    <s v="demo.student073.ananyasingh@example.com"/>
    <n v="9000000073"/>
    <x v="7"/>
    <x v="0"/>
    <x v="2"/>
    <s v="CRS009"/>
    <x v="13"/>
    <x v="10"/>
    <x v="1"/>
    <x v="3"/>
    <x v="5"/>
    <x v="2"/>
    <n v="0"/>
    <s v="Synthetic"/>
  </r>
  <r>
    <n v="328"/>
    <d v="2025-03-30T22:20:52"/>
    <x v="2"/>
    <x v="0"/>
    <x v="2"/>
    <s v="Tanya Mehta"/>
    <s v="demo.student325.tanyamehta@example.com"/>
    <n v="9000000325"/>
    <x v="7"/>
    <x v="0"/>
    <x v="1"/>
    <s v="CRS005"/>
    <x v="4"/>
    <x v="3"/>
    <x v="0"/>
    <x v="0"/>
    <x v="4"/>
    <x v="3"/>
    <n v="1"/>
    <s v="Synthetic"/>
  </r>
  <r>
    <n v="66"/>
    <d v="2025-03-31T19:55:08"/>
    <x v="2"/>
    <x v="0"/>
    <x v="2"/>
    <s v="Neha Mehta"/>
    <s v="demo.student063.nehamehta@example.com"/>
    <n v="9000000063"/>
    <x v="9"/>
    <x v="5"/>
    <x v="2"/>
    <s v="CRS013"/>
    <x v="12"/>
    <x v="6"/>
    <x v="1"/>
    <x v="1"/>
    <x v="4"/>
    <x v="4"/>
    <n v="0"/>
    <s v="Synthetic"/>
  </r>
  <r>
    <n v="340"/>
    <d v="2025-04-03T13:51:21"/>
    <x v="3"/>
    <x v="0"/>
    <x v="3"/>
    <s v="Arjun Chauhan"/>
    <s v="demo.student337.arjunchauhan@example.com"/>
    <n v="9000000337"/>
    <x v="9"/>
    <x v="0"/>
    <x v="1"/>
    <s v="CRS006"/>
    <x v="11"/>
    <x v="3"/>
    <x v="0"/>
    <x v="3"/>
    <x v="0"/>
    <x v="0"/>
    <n v="0"/>
    <s v="Synthetic"/>
  </r>
  <r>
    <n v="12"/>
    <d v="2025-04-05T15:17:17"/>
    <x v="3"/>
    <x v="0"/>
    <x v="3"/>
    <s v="Simran Sharma"/>
    <s v="demo.student009.simransharma@example.com"/>
    <n v="9000000009"/>
    <x v="9"/>
    <x v="4"/>
    <x v="1"/>
    <s v="CRS015"/>
    <x v="9"/>
    <x v="8"/>
    <x v="1"/>
    <x v="0"/>
    <x v="1"/>
    <x v="0"/>
    <n v="0"/>
    <s v="Synthetic"/>
  </r>
  <r>
    <n v="370"/>
    <d v="2025-04-07T02:16:11"/>
    <x v="3"/>
    <x v="0"/>
    <x v="3"/>
    <s v="Aarav Dahiya"/>
    <s v="demo.student367.aaravdahiya@example.com"/>
    <n v="9000000367"/>
    <x v="1"/>
    <x v="4"/>
    <x v="2"/>
    <s v="CRS003"/>
    <x v="6"/>
    <x v="5"/>
    <x v="1"/>
    <x v="3"/>
    <x v="0"/>
    <x v="0"/>
    <n v="0"/>
    <s v="Synthetic"/>
  </r>
  <r>
    <n v="110"/>
    <d v="2025-04-08T05:09:43"/>
    <x v="3"/>
    <x v="0"/>
    <x v="3"/>
    <s v="Ayush Mehta"/>
    <s v="demo.student107.ayushmehta@example.com"/>
    <n v="9000000107"/>
    <x v="2"/>
    <x v="4"/>
    <x v="2"/>
    <s v="CRS014"/>
    <x v="8"/>
    <x v="7"/>
    <x v="0"/>
    <x v="0"/>
    <x v="0"/>
    <x v="1"/>
    <n v="0"/>
    <s v="Synthetic"/>
  </r>
  <r>
    <n v="73"/>
    <d v="2025-04-09T04:23:28"/>
    <x v="3"/>
    <x v="0"/>
    <x v="3"/>
    <s v="Aditi Sharma"/>
    <s v="demo.student070.aditisharma@example.com"/>
    <n v="9000000070"/>
    <x v="3"/>
    <x v="0"/>
    <x v="2"/>
    <s v="CRS004"/>
    <x v="2"/>
    <x v="2"/>
    <x v="0"/>
    <x v="1"/>
    <x v="4"/>
    <x v="3"/>
    <n v="1"/>
    <s v="Synthetic"/>
  </r>
  <r>
    <n v="412"/>
    <d v="2025-04-10T23:40:40"/>
    <x v="3"/>
    <x v="0"/>
    <x v="3"/>
    <s v="Muskan Jain"/>
    <s v="demo.student409.muskanjain@example.com"/>
    <n v="9000000409"/>
    <x v="1"/>
    <x v="4"/>
    <x v="0"/>
    <s v="CRS010"/>
    <x v="5"/>
    <x v="4"/>
    <x v="1"/>
    <x v="2"/>
    <x v="4"/>
    <x v="1"/>
    <n v="0"/>
    <s v="Synthetic"/>
  </r>
  <r>
    <n v="324"/>
    <d v="2025-04-13T06:51:10"/>
    <x v="3"/>
    <x v="0"/>
    <x v="3"/>
    <s v="Rohit Sharma"/>
    <s v="demo.student321.rohitsharma@example.com"/>
    <n v="9000000321"/>
    <x v="4"/>
    <x v="0"/>
    <x v="0"/>
    <s v="CRS012"/>
    <x v="10"/>
    <x v="9"/>
    <x v="1"/>
    <x v="3"/>
    <x v="0"/>
    <x v="0"/>
    <n v="0"/>
    <s v="Synthetic"/>
  </r>
  <r>
    <n v="346"/>
    <d v="2025-04-15T22:47:49"/>
    <x v="3"/>
    <x v="0"/>
    <x v="3"/>
    <s v="Shivani Malik"/>
    <s v="demo.student343.shivanimalik@example.com"/>
    <n v="9000000343"/>
    <x v="9"/>
    <x v="2"/>
    <x v="1"/>
    <s v="CRS009"/>
    <x v="13"/>
    <x v="10"/>
    <x v="0"/>
    <x v="2"/>
    <x v="4"/>
    <x v="4"/>
    <n v="0"/>
    <s v="Synthetic"/>
  </r>
  <r>
    <n v="304"/>
    <d v="2025-04-16T17:41:45"/>
    <x v="3"/>
    <x v="0"/>
    <x v="3"/>
    <s v="Anjali Gupta"/>
    <s v="demo.student301.anjaligupta@example.com"/>
    <n v="9000000301"/>
    <x v="0"/>
    <x v="1"/>
    <x v="2"/>
    <s v="CRS007"/>
    <x v="1"/>
    <x v="1"/>
    <x v="0"/>
    <x v="1"/>
    <x v="3"/>
    <x v="0"/>
    <n v="0"/>
    <s v="Synthetic"/>
  </r>
  <r>
    <n v="178"/>
    <d v="2025-04-20T05:18:59"/>
    <x v="3"/>
    <x v="0"/>
    <x v="3"/>
    <s v="Khushi Khatri"/>
    <s v="demo.student175.khushikhatri@example.com"/>
    <n v="9000000175"/>
    <x v="0"/>
    <x v="5"/>
    <x v="2"/>
    <s v="CRS001"/>
    <x v="0"/>
    <x v="0"/>
    <x v="0"/>
    <x v="0"/>
    <x v="2"/>
    <x v="4"/>
    <n v="0"/>
    <s v="Synthetic"/>
  </r>
  <r>
    <n v="280"/>
    <d v="2025-04-21T09:35:49"/>
    <x v="3"/>
    <x v="0"/>
    <x v="3"/>
    <s v="Ananya Sharma"/>
    <s v="demo.student277.ananyasharma@example.com"/>
    <n v="9000000277"/>
    <x v="7"/>
    <x v="0"/>
    <x v="0"/>
    <s v="CRS012"/>
    <x v="10"/>
    <x v="9"/>
    <x v="1"/>
    <x v="3"/>
    <x v="0"/>
    <x v="2"/>
    <n v="0"/>
    <s v="Synthetic"/>
  </r>
  <r>
    <n v="300"/>
    <d v="2025-04-23T02:36:29"/>
    <x v="3"/>
    <x v="0"/>
    <x v="3"/>
    <s v="Sneha Sharma"/>
    <s v="demo.student297.snehasharma@example.com"/>
    <n v="9000000297"/>
    <x v="3"/>
    <x v="4"/>
    <x v="0"/>
    <s v="CRS007"/>
    <x v="1"/>
    <x v="1"/>
    <x v="1"/>
    <x v="3"/>
    <x v="0"/>
    <x v="3"/>
    <n v="1"/>
    <s v="Synthetic"/>
  </r>
  <r>
    <n v="478"/>
    <d v="2025-04-24T09:44:31"/>
    <x v="3"/>
    <x v="0"/>
    <x v="3"/>
    <s v="Deepak Singh"/>
    <s v="demo.student475.deepaksingh@example.com"/>
    <n v="9000000475"/>
    <x v="1"/>
    <x v="0"/>
    <x v="0"/>
    <s v="CRS015"/>
    <x v="9"/>
    <x v="8"/>
    <x v="1"/>
    <x v="2"/>
    <x v="0"/>
    <x v="2"/>
    <n v="0"/>
    <s v="Synthetic"/>
  </r>
  <r>
    <n v="205"/>
    <d v="2025-04-24T17:25:20"/>
    <x v="3"/>
    <x v="0"/>
    <x v="3"/>
    <s v="Diya Gupta"/>
    <s v="demo.student202.diyagupta@example.com"/>
    <n v="9000000202"/>
    <x v="7"/>
    <x v="2"/>
    <x v="0"/>
    <s v="CRS008"/>
    <x v="14"/>
    <x v="10"/>
    <x v="1"/>
    <x v="2"/>
    <x v="0"/>
    <x v="2"/>
    <n v="0"/>
    <s v="Synthetic"/>
  </r>
  <r>
    <n v="436"/>
    <d v="2025-04-24T20:16:28"/>
    <x v="3"/>
    <x v="0"/>
    <x v="3"/>
    <s v="Akash Yadav"/>
    <s v="demo.student433.akashyadav@example.com"/>
    <n v="9000000433"/>
    <x v="1"/>
    <x v="2"/>
    <x v="0"/>
    <s v="CRS013"/>
    <x v="12"/>
    <x v="6"/>
    <x v="1"/>
    <x v="3"/>
    <x v="2"/>
    <x v="2"/>
    <n v="0"/>
    <s v="Synthetic"/>
  </r>
  <r>
    <n v="266"/>
    <d v="2025-04-26T13:57:21"/>
    <x v="3"/>
    <x v="0"/>
    <x v="3"/>
    <s v="Akash Kumar"/>
    <s v="demo.student263.akashkumar@example.com"/>
    <n v="9000000263"/>
    <x v="7"/>
    <x v="1"/>
    <x v="2"/>
    <s v="CRS006"/>
    <x v="11"/>
    <x v="3"/>
    <x v="1"/>
    <x v="2"/>
    <x v="5"/>
    <x v="4"/>
    <n v="0"/>
    <s v="Synthetic"/>
  </r>
  <r>
    <n v="193"/>
    <d v="2025-04-27T00:39:01"/>
    <x v="3"/>
    <x v="0"/>
    <x v="3"/>
    <s v="Kajal Verma"/>
    <s v="demo.student190.kajalverma@example.com"/>
    <n v="9000000190"/>
    <x v="4"/>
    <x v="4"/>
    <x v="3"/>
    <s v="CRS009"/>
    <x v="13"/>
    <x v="10"/>
    <x v="1"/>
    <x v="0"/>
    <x v="0"/>
    <x v="1"/>
    <n v="0"/>
    <s v="Synthetic"/>
  </r>
  <r>
    <n v="41"/>
    <d v="2025-04-27T02:21:49"/>
    <x v="3"/>
    <x v="0"/>
    <x v="3"/>
    <s v="Saksham Verma"/>
    <s v="demo.student038.sakshamverma@example.com"/>
    <n v="9000000038"/>
    <x v="2"/>
    <x v="1"/>
    <x v="1"/>
    <s v="CRS011"/>
    <x v="7"/>
    <x v="6"/>
    <x v="1"/>
    <x v="3"/>
    <x v="3"/>
    <x v="0"/>
    <n v="0"/>
    <s v="Synthetic"/>
  </r>
  <r>
    <n v="15"/>
    <d v="2025-04-28T12:41:14"/>
    <x v="3"/>
    <x v="0"/>
    <x v="3"/>
    <s v="Nisha Saini"/>
    <s v="demo.student012.nishasaini@example.com"/>
    <n v="9000000012"/>
    <x v="4"/>
    <x v="0"/>
    <x v="1"/>
    <s v="CRS003"/>
    <x v="6"/>
    <x v="5"/>
    <x v="0"/>
    <x v="1"/>
    <x v="3"/>
    <x v="3"/>
    <n v="1"/>
    <s v="Synthetic"/>
  </r>
  <r>
    <n v="97"/>
    <d v="2025-04-28T15:02:59"/>
    <x v="3"/>
    <x v="0"/>
    <x v="3"/>
    <s v="Nisha Chauhan"/>
    <s v="demo.student094.nishachauhan@example.com"/>
    <n v="9000000094"/>
    <x v="9"/>
    <x v="2"/>
    <x v="3"/>
    <s v="CRS006"/>
    <x v="11"/>
    <x v="3"/>
    <x v="1"/>
    <x v="0"/>
    <x v="7"/>
    <x v="1"/>
    <n v="0"/>
    <s v="Synthetic"/>
  </r>
  <r>
    <n v="152"/>
    <d v="2025-04-28T23:52:59"/>
    <x v="3"/>
    <x v="0"/>
    <x v="3"/>
    <s v="Karan Sharma"/>
    <s v="demo.student149.karansharma@example.com"/>
    <n v="9000000149"/>
    <x v="5"/>
    <x v="0"/>
    <x v="1"/>
    <s v="CRS007"/>
    <x v="1"/>
    <x v="1"/>
    <x v="1"/>
    <x v="2"/>
    <x v="4"/>
    <x v="2"/>
    <n v="0"/>
    <s v="Synthetic"/>
  </r>
  <r>
    <n v="81"/>
    <d v="2025-04-29T22:23:44"/>
    <x v="3"/>
    <x v="0"/>
    <x v="3"/>
    <s v="Saksham Yadav"/>
    <s v="demo.student078.sakshamyadav@example.com"/>
    <n v="9000000078"/>
    <x v="9"/>
    <x v="2"/>
    <x v="1"/>
    <s v="CRS006"/>
    <x v="11"/>
    <x v="3"/>
    <x v="0"/>
    <x v="3"/>
    <x v="0"/>
    <x v="3"/>
    <n v="1"/>
    <s v="Synthetic"/>
  </r>
  <r>
    <n v="473"/>
    <d v="2025-05-03T07:47:24"/>
    <x v="4"/>
    <x v="0"/>
    <x v="4"/>
    <s v="Nikhil Yadav"/>
    <s v="demo.student470.nikhilyadav@example.com"/>
    <n v="9000000470"/>
    <x v="1"/>
    <x v="0"/>
    <x v="1"/>
    <s v="CRS012"/>
    <x v="10"/>
    <x v="9"/>
    <x v="1"/>
    <x v="0"/>
    <x v="6"/>
    <x v="5"/>
    <n v="0"/>
    <s v="Synthetic"/>
  </r>
  <r>
    <n v="281"/>
    <d v="2025-05-03T17:05:06"/>
    <x v="4"/>
    <x v="0"/>
    <x v="4"/>
    <s v="Ayush Yadav"/>
    <s v="demo.student278.ayushyadav@example.com"/>
    <n v="9000000278"/>
    <x v="5"/>
    <x v="0"/>
    <x v="0"/>
    <s v="CRS003"/>
    <x v="6"/>
    <x v="5"/>
    <x v="1"/>
    <x v="0"/>
    <x v="3"/>
    <x v="2"/>
    <n v="0"/>
    <s v="Synthetic"/>
  </r>
  <r>
    <n v="159"/>
    <d v="2025-05-04T01:14:06"/>
    <x v="4"/>
    <x v="0"/>
    <x v="4"/>
    <s v="Diya Sharma"/>
    <s v="demo.student156.diyasharma@example.com"/>
    <n v="9000000156"/>
    <x v="5"/>
    <x v="1"/>
    <x v="3"/>
    <s v="CRS015"/>
    <x v="9"/>
    <x v="8"/>
    <x v="1"/>
    <x v="2"/>
    <x v="6"/>
    <x v="3"/>
    <n v="1"/>
    <s v="Synthetic"/>
  </r>
  <r>
    <n v="139"/>
    <d v="2025-05-04T03:49:59"/>
    <x v="4"/>
    <x v="0"/>
    <x v="4"/>
    <s v="Nikhil Malik"/>
    <s v="demo.student136.nikhilmalik@example.com"/>
    <n v="9000000136"/>
    <x v="9"/>
    <x v="3"/>
    <x v="4"/>
    <s v="CRS001"/>
    <x v="0"/>
    <x v="0"/>
    <x v="1"/>
    <x v="1"/>
    <x v="0"/>
    <x v="0"/>
    <n v="0"/>
    <s v="Synthetic"/>
  </r>
  <r>
    <n v="135"/>
    <d v="2025-05-07T04:16:58"/>
    <x v="4"/>
    <x v="0"/>
    <x v="4"/>
    <s v="Deepak Dahiya"/>
    <s v="demo.student132.deepakdahiya@example.com"/>
    <n v="9000000132"/>
    <x v="6"/>
    <x v="0"/>
    <x v="0"/>
    <s v="CRS003"/>
    <x v="6"/>
    <x v="5"/>
    <x v="0"/>
    <x v="0"/>
    <x v="4"/>
    <x v="4"/>
    <n v="0"/>
    <s v="Synthetic"/>
  </r>
  <r>
    <n v="163"/>
    <d v="2025-05-07T14:06:45"/>
    <x v="4"/>
    <x v="0"/>
    <x v="4"/>
    <s v="Muskan Kumar"/>
    <s v="demo.student160.muskankumar@example.com"/>
    <n v="9000000160"/>
    <x v="9"/>
    <x v="0"/>
    <x v="2"/>
    <s v="CRS006"/>
    <x v="11"/>
    <x v="3"/>
    <x v="0"/>
    <x v="3"/>
    <x v="7"/>
    <x v="4"/>
    <n v="0"/>
    <s v="Synthetic"/>
  </r>
  <r>
    <n v="307"/>
    <d v="2025-05-07T21:48:50"/>
    <x v="4"/>
    <x v="0"/>
    <x v="4"/>
    <s v="Arjun Gupta"/>
    <s v="demo.student304.arjungupta@example.com"/>
    <n v="9000000304"/>
    <x v="3"/>
    <x v="2"/>
    <x v="4"/>
    <s v="CRS001"/>
    <x v="0"/>
    <x v="0"/>
    <x v="0"/>
    <x v="1"/>
    <x v="6"/>
    <x v="3"/>
    <n v="1"/>
    <s v="Synthetic"/>
  </r>
  <r>
    <n v="338"/>
    <d v="2025-05-09T20:21:06"/>
    <x v="4"/>
    <x v="0"/>
    <x v="4"/>
    <s v="Tanya Chauhan"/>
    <s v="demo.student335.tanyachauhan@example.com"/>
    <n v="9000000335"/>
    <x v="7"/>
    <x v="1"/>
    <x v="1"/>
    <s v="CRS008"/>
    <x v="14"/>
    <x v="10"/>
    <x v="1"/>
    <x v="1"/>
    <x v="0"/>
    <x v="4"/>
    <n v="0"/>
    <s v="Synthetic"/>
  </r>
  <r>
    <n v="485"/>
    <d v="2025-05-10T16:32:06"/>
    <x v="4"/>
    <x v="0"/>
    <x v="4"/>
    <s v="Nikhil Khatri"/>
    <s v="demo.student482.nikhilkhatri@example.com"/>
    <n v="9000000482"/>
    <x v="5"/>
    <x v="0"/>
    <x v="2"/>
    <s v="CRS008"/>
    <x v="14"/>
    <x v="10"/>
    <x v="0"/>
    <x v="1"/>
    <x v="5"/>
    <x v="4"/>
    <n v="0"/>
    <s v="Synthetic"/>
  </r>
  <r>
    <n v="226"/>
    <d v="2025-05-11T06:49:51"/>
    <x v="4"/>
    <x v="0"/>
    <x v="4"/>
    <s v="Sahil Mehta"/>
    <s v="demo.student223.sahilmehta@example.com"/>
    <n v="9000000223"/>
    <x v="7"/>
    <x v="0"/>
    <x v="2"/>
    <s v="CRS008"/>
    <x v="14"/>
    <x v="10"/>
    <x v="0"/>
    <x v="0"/>
    <x v="3"/>
    <x v="0"/>
    <n v="0"/>
    <s v="Synthetic"/>
  </r>
  <r>
    <n v="364"/>
    <d v="2025-05-11T09:27:55"/>
    <x v="4"/>
    <x v="0"/>
    <x v="4"/>
    <s v="Karan Yadav"/>
    <s v="demo.student361.karanyadav@example.com"/>
    <n v="9000000361"/>
    <x v="0"/>
    <x v="0"/>
    <x v="1"/>
    <s v="CRS002"/>
    <x v="3"/>
    <x v="0"/>
    <x v="0"/>
    <x v="1"/>
    <x v="7"/>
    <x v="1"/>
    <n v="0"/>
    <s v="Synthetic"/>
  </r>
  <r>
    <n v="23"/>
    <d v="2025-05-11T16:48:58"/>
    <x v="4"/>
    <x v="0"/>
    <x v="4"/>
    <s v="Simran Mehta"/>
    <s v="demo.student020.simranmehta@example.com"/>
    <n v="9000000020"/>
    <x v="3"/>
    <x v="4"/>
    <x v="0"/>
    <s v="CRS006"/>
    <x v="11"/>
    <x v="3"/>
    <x v="0"/>
    <x v="1"/>
    <x v="1"/>
    <x v="2"/>
    <n v="0"/>
    <s v="Synthetic"/>
  </r>
  <r>
    <n v="270"/>
    <d v="2025-05-11T20:32:44"/>
    <x v="4"/>
    <x v="0"/>
    <x v="4"/>
    <s v="Deepak Sharma"/>
    <s v="demo.student267.deepaksharma@example.com"/>
    <n v="9000000267"/>
    <x v="3"/>
    <x v="0"/>
    <x v="3"/>
    <s v="CRS001"/>
    <x v="0"/>
    <x v="0"/>
    <x v="1"/>
    <x v="2"/>
    <x v="3"/>
    <x v="3"/>
    <n v="1"/>
    <s v="Synthetic"/>
  </r>
  <r>
    <n v="459"/>
    <d v="2025-05-15T16:08:09"/>
    <x v="4"/>
    <x v="0"/>
    <x v="4"/>
    <s v="Anjali Mehta"/>
    <s v="demo.student456.anjalimehta@example.com"/>
    <n v="9000000456"/>
    <x v="9"/>
    <x v="0"/>
    <x v="0"/>
    <s v="CRS008"/>
    <x v="14"/>
    <x v="10"/>
    <x v="0"/>
    <x v="0"/>
    <x v="3"/>
    <x v="1"/>
    <n v="0"/>
    <s v="Synthetic"/>
  </r>
  <r>
    <n v="224"/>
    <d v="2025-05-15T22:19:50"/>
    <x v="4"/>
    <x v="0"/>
    <x v="4"/>
    <s v="Yash Mehta"/>
    <s v="demo.student221.yashmehta@example.com"/>
    <n v="9000000221"/>
    <x v="0"/>
    <x v="4"/>
    <x v="3"/>
    <s v="CRS015"/>
    <x v="9"/>
    <x v="8"/>
    <x v="1"/>
    <x v="1"/>
    <x v="3"/>
    <x v="2"/>
    <n v="0"/>
    <s v="Synthetic"/>
  </r>
  <r>
    <n v="282"/>
    <d v="2025-05-17T13:47:28"/>
    <x v="4"/>
    <x v="0"/>
    <x v="4"/>
    <s v="Prachi Kumar"/>
    <s v="demo.student279.prachikumar@example.com"/>
    <n v="9000000279"/>
    <x v="5"/>
    <x v="0"/>
    <x v="1"/>
    <s v="CRS014"/>
    <x v="8"/>
    <x v="7"/>
    <x v="1"/>
    <x v="1"/>
    <x v="3"/>
    <x v="3"/>
    <n v="1"/>
    <s v="Synthetic"/>
  </r>
  <r>
    <n v="251"/>
    <d v="2025-05-17T19:16:37"/>
    <x v="4"/>
    <x v="0"/>
    <x v="4"/>
    <s v="Nikhil Bansal"/>
    <s v="demo.student248.nikhilbansal@example.com"/>
    <n v="9000000248"/>
    <x v="7"/>
    <x v="4"/>
    <x v="2"/>
    <s v="CRS012"/>
    <x v="10"/>
    <x v="9"/>
    <x v="1"/>
    <x v="3"/>
    <x v="3"/>
    <x v="5"/>
    <n v="0"/>
    <s v="Synthetic"/>
  </r>
  <r>
    <n v="391"/>
    <d v="2025-05-19T04:23:21"/>
    <x v="4"/>
    <x v="0"/>
    <x v="4"/>
    <s v="Sahil Chauhan"/>
    <s v="demo.student388.sahilchauhan@example.com"/>
    <n v="9000000388"/>
    <x v="9"/>
    <x v="0"/>
    <x v="0"/>
    <s v="CRS002"/>
    <x v="3"/>
    <x v="0"/>
    <x v="0"/>
    <x v="3"/>
    <x v="3"/>
    <x v="2"/>
    <n v="0"/>
    <s v="Synthetic"/>
  </r>
  <r>
    <n v="416"/>
    <d v="2025-05-21T02:22:41"/>
    <x v="4"/>
    <x v="0"/>
    <x v="4"/>
    <s v="Rahul Chauhan"/>
    <s v="demo.student413.rahulchauhan@example.com"/>
    <n v="9000000413"/>
    <x v="3"/>
    <x v="4"/>
    <x v="1"/>
    <s v="CRS008"/>
    <x v="14"/>
    <x v="10"/>
    <x v="0"/>
    <x v="3"/>
    <x v="7"/>
    <x v="2"/>
    <n v="0"/>
    <s v="Synthetic"/>
  </r>
  <r>
    <n v="29"/>
    <d v="2025-05-22T14:44:26"/>
    <x v="4"/>
    <x v="0"/>
    <x v="4"/>
    <s v="Pooja Sharma"/>
    <s v="demo.student026.poojasharma@example.com"/>
    <n v="9000000026"/>
    <x v="9"/>
    <x v="4"/>
    <x v="1"/>
    <s v="CRS006"/>
    <x v="11"/>
    <x v="3"/>
    <x v="1"/>
    <x v="0"/>
    <x v="0"/>
    <x v="3"/>
    <n v="1"/>
    <s v="Synthetic"/>
  </r>
  <r>
    <n v="389"/>
    <d v="2025-05-22T15:33:58"/>
    <x v="4"/>
    <x v="0"/>
    <x v="4"/>
    <s v="Gaurav Khatri"/>
    <s v="demo.student386.gauravkhatri@example.com"/>
    <n v="9000000386"/>
    <x v="3"/>
    <x v="0"/>
    <x v="1"/>
    <s v="CRS013"/>
    <x v="12"/>
    <x v="6"/>
    <x v="1"/>
    <x v="1"/>
    <x v="7"/>
    <x v="3"/>
    <n v="1"/>
    <s v="Synthetic"/>
  </r>
  <r>
    <n v="433"/>
    <d v="2025-05-23T01:18:58"/>
    <x v="4"/>
    <x v="0"/>
    <x v="4"/>
    <s v="Muskan Jain"/>
    <s v="demo.student430.muskanjain@example.com"/>
    <n v="9000000430"/>
    <x v="8"/>
    <x v="2"/>
    <x v="0"/>
    <s v="CRS002"/>
    <x v="3"/>
    <x v="0"/>
    <x v="1"/>
    <x v="2"/>
    <x v="0"/>
    <x v="3"/>
    <n v="1"/>
    <s v="Synthetic"/>
  </r>
  <r>
    <n v="479"/>
    <d v="2025-05-24T20:55:27"/>
    <x v="4"/>
    <x v="0"/>
    <x v="4"/>
    <s v="Gaurav Khatri"/>
    <s v="demo.student476.gauravkhatri@example.com"/>
    <n v="9000000476"/>
    <x v="1"/>
    <x v="0"/>
    <x v="0"/>
    <s v="CRS003"/>
    <x v="6"/>
    <x v="5"/>
    <x v="1"/>
    <x v="1"/>
    <x v="6"/>
    <x v="4"/>
    <n v="0"/>
    <s v="Synthetic"/>
  </r>
  <r>
    <n v="385"/>
    <d v="2025-05-26T13:10:27"/>
    <x v="4"/>
    <x v="0"/>
    <x v="4"/>
    <s v="Tanya Bansal"/>
    <s v="demo.student382.tanyabansal@example.com"/>
    <n v="9000000382"/>
    <x v="8"/>
    <x v="2"/>
    <x v="0"/>
    <s v="CRS003"/>
    <x v="6"/>
    <x v="5"/>
    <x v="0"/>
    <x v="1"/>
    <x v="0"/>
    <x v="5"/>
    <n v="0"/>
    <s v="Synthetic"/>
  </r>
  <r>
    <n v="176"/>
    <d v="2025-05-27T18:31:48"/>
    <x v="4"/>
    <x v="0"/>
    <x v="4"/>
    <s v="Mehak Malik"/>
    <s v="demo.student173.mehakmalik@example.com"/>
    <n v="9000000173"/>
    <x v="7"/>
    <x v="2"/>
    <x v="0"/>
    <s v="CRS005"/>
    <x v="4"/>
    <x v="3"/>
    <x v="1"/>
    <x v="3"/>
    <x v="3"/>
    <x v="3"/>
    <n v="1"/>
    <s v="Synthetic"/>
  </r>
  <r>
    <n v="142"/>
    <d v="2025-05-28T19:45:50"/>
    <x v="4"/>
    <x v="0"/>
    <x v="4"/>
    <s v="Nisha Saini"/>
    <s v="demo.student139.nishasaini@example.com"/>
    <n v="9000000139"/>
    <x v="8"/>
    <x v="0"/>
    <x v="1"/>
    <s v="CRS006"/>
    <x v="11"/>
    <x v="3"/>
    <x v="1"/>
    <x v="2"/>
    <x v="4"/>
    <x v="3"/>
    <n v="1"/>
    <s v="Synthetic"/>
  </r>
  <r>
    <n v="409"/>
    <d v="2025-05-29T01:58:44"/>
    <x v="4"/>
    <x v="0"/>
    <x v="4"/>
    <s v="Muskan Singh"/>
    <s v="demo.student406.muskansingh@example.com"/>
    <n v="9000000406"/>
    <x v="9"/>
    <x v="1"/>
    <x v="3"/>
    <s v="CRS011"/>
    <x v="7"/>
    <x v="6"/>
    <x v="1"/>
    <x v="1"/>
    <x v="4"/>
    <x v="3"/>
    <n v="1"/>
    <s v="Synthetic"/>
  </r>
  <r>
    <n v="121"/>
    <d v="2025-05-29T19:25:34"/>
    <x v="4"/>
    <x v="0"/>
    <x v="4"/>
    <s v="Sneha Gupta"/>
    <s v="demo.student118.snehagupta@example.com"/>
    <n v="9000000118"/>
    <x v="2"/>
    <x v="3"/>
    <x v="4"/>
    <s v="CRS011"/>
    <x v="7"/>
    <x v="6"/>
    <x v="1"/>
    <x v="0"/>
    <x v="0"/>
    <x v="1"/>
    <n v="0"/>
    <s v="Synthetic"/>
  </r>
  <r>
    <n v="296"/>
    <d v="2025-05-31T01:40:28"/>
    <x v="4"/>
    <x v="0"/>
    <x v="4"/>
    <s v="Kajal Singh"/>
    <s v="demo.student293.kajalsingh@example.com"/>
    <n v="9000000293"/>
    <x v="8"/>
    <x v="2"/>
    <x v="3"/>
    <s v="CRS013"/>
    <x v="12"/>
    <x v="6"/>
    <x v="1"/>
    <x v="2"/>
    <x v="3"/>
    <x v="2"/>
    <n v="0"/>
    <s v="Synthetic"/>
  </r>
  <r>
    <n v="108"/>
    <d v="2025-06-01T01:43:25"/>
    <x v="5"/>
    <x v="0"/>
    <x v="5"/>
    <s v="Nikhil Khatri"/>
    <s v="demo.student105.nikhilkhatri@example.com"/>
    <n v="9000000105"/>
    <x v="6"/>
    <x v="1"/>
    <x v="2"/>
    <s v="CRS015"/>
    <x v="9"/>
    <x v="8"/>
    <x v="1"/>
    <x v="2"/>
    <x v="7"/>
    <x v="0"/>
    <n v="0"/>
    <s v="Synthetic"/>
  </r>
  <r>
    <n v="145"/>
    <d v="2025-06-01T13:38:16"/>
    <x v="5"/>
    <x v="0"/>
    <x v="5"/>
    <s v="Akash Jain"/>
    <s v="demo.student142.akashjain@example.com"/>
    <n v="9000000142"/>
    <x v="6"/>
    <x v="2"/>
    <x v="4"/>
    <s v="CRS009"/>
    <x v="13"/>
    <x v="10"/>
    <x v="0"/>
    <x v="2"/>
    <x v="5"/>
    <x v="3"/>
    <n v="1"/>
    <s v="Synthetic"/>
  </r>
  <r>
    <n v="464"/>
    <d v="2025-06-04T06:00:38"/>
    <x v="5"/>
    <x v="0"/>
    <x v="5"/>
    <s v="Diya Khatri"/>
    <s v="demo.student461.diyakhatri@example.com"/>
    <n v="9000000461"/>
    <x v="9"/>
    <x v="2"/>
    <x v="0"/>
    <s v="CRS009"/>
    <x v="13"/>
    <x v="10"/>
    <x v="0"/>
    <x v="1"/>
    <x v="3"/>
    <x v="3"/>
    <n v="1"/>
    <s v="Synthetic"/>
  </r>
  <r>
    <n v="109"/>
    <d v="2025-06-05T11:38:07"/>
    <x v="5"/>
    <x v="0"/>
    <x v="5"/>
    <s v="Tanya Dahiya"/>
    <s v="demo.student106.tanyadahiya@example.com"/>
    <n v="9000000106"/>
    <x v="3"/>
    <x v="4"/>
    <x v="1"/>
    <s v="CRS003"/>
    <x v="6"/>
    <x v="5"/>
    <x v="1"/>
    <x v="3"/>
    <x v="6"/>
    <x v="3"/>
    <n v="1"/>
    <s v="Synthetic"/>
  </r>
  <r>
    <n v="209"/>
    <d v="2025-06-05T13:32:34"/>
    <x v="5"/>
    <x v="0"/>
    <x v="5"/>
    <s v="Rohit Yadav"/>
    <s v="demo.student206.rohityadav@example.com"/>
    <n v="9000000206"/>
    <x v="3"/>
    <x v="0"/>
    <x v="0"/>
    <s v="CRS010"/>
    <x v="5"/>
    <x v="4"/>
    <x v="0"/>
    <x v="3"/>
    <x v="1"/>
    <x v="5"/>
    <n v="0"/>
    <s v="Synthetic"/>
  </r>
  <r>
    <n v="470"/>
    <d v="2025-06-06T06:14:44"/>
    <x v="5"/>
    <x v="0"/>
    <x v="5"/>
    <s v="Akash Gupta"/>
    <s v="demo.student467.akashgupta@example.com"/>
    <n v="9000000467"/>
    <x v="3"/>
    <x v="2"/>
    <x v="0"/>
    <s v="CRS005"/>
    <x v="4"/>
    <x v="3"/>
    <x v="1"/>
    <x v="3"/>
    <x v="3"/>
    <x v="2"/>
    <n v="0"/>
    <s v="Synthetic"/>
  </r>
  <r>
    <n v="289"/>
    <d v="2025-06-10T00:44:18"/>
    <x v="5"/>
    <x v="0"/>
    <x v="5"/>
    <s v="Saksham Singh"/>
    <s v="demo.student286.sakshamsingh@example.com"/>
    <n v="9000000286"/>
    <x v="4"/>
    <x v="3"/>
    <x v="4"/>
    <s v="CRS006"/>
    <x v="11"/>
    <x v="3"/>
    <x v="1"/>
    <x v="0"/>
    <x v="0"/>
    <x v="3"/>
    <n v="1"/>
    <s v="Synthetic"/>
  </r>
  <r>
    <n v="16"/>
    <d v="2025-06-11T00:40:20"/>
    <x v="5"/>
    <x v="0"/>
    <x v="5"/>
    <s v="Pooja Dahiya"/>
    <s v="demo.student013.poojadahiya@example.com"/>
    <n v="9000000013"/>
    <x v="5"/>
    <x v="0"/>
    <x v="1"/>
    <s v="CRS001"/>
    <x v="0"/>
    <x v="0"/>
    <x v="0"/>
    <x v="2"/>
    <x v="5"/>
    <x v="0"/>
    <n v="0"/>
    <s v="Synthetic"/>
  </r>
  <r>
    <n v="216"/>
    <d v="2025-06-11T01:17:11"/>
    <x v="5"/>
    <x v="0"/>
    <x v="5"/>
    <s v="Prachi Gupta"/>
    <s v="demo.student213.prachigupta@example.com"/>
    <n v="9000000213"/>
    <x v="0"/>
    <x v="4"/>
    <x v="0"/>
    <s v="CRS013"/>
    <x v="12"/>
    <x v="6"/>
    <x v="1"/>
    <x v="3"/>
    <x v="0"/>
    <x v="3"/>
    <n v="1"/>
    <s v="Synthetic"/>
  </r>
  <r>
    <n v="155"/>
    <d v="2025-06-11T08:56:17"/>
    <x v="5"/>
    <x v="0"/>
    <x v="5"/>
    <s v="Manish Gupta"/>
    <s v="demo.student152.manishgupta@example.com"/>
    <n v="9000000152"/>
    <x v="9"/>
    <x v="0"/>
    <x v="2"/>
    <s v="CRS012"/>
    <x v="10"/>
    <x v="9"/>
    <x v="1"/>
    <x v="0"/>
    <x v="0"/>
    <x v="1"/>
    <n v="0"/>
    <s v="Synthetic"/>
  </r>
  <r>
    <n v="265"/>
    <d v="2025-06-11T15:37:11"/>
    <x v="5"/>
    <x v="0"/>
    <x v="5"/>
    <s v="Deepak Dahiya"/>
    <s v="demo.student262.deepakdahiya@example.com"/>
    <n v="9000000262"/>
    <x v="9"/>
    <x v="2"/>
    <x v="0"/>
    <s v="CRS013"/>
    <x v="12"/>
    <x v="6"/>
    <x v="1"/>
    <x v="3"/>
    <x v="3"/>
    <x v="3"/>
    <n v="1"/>
    <s v="Synthetic"/>
  </r>
  <r>
    <n v="386"/>
    <d v="2025-06-14T00:48:22"/>
    <x v="5"/>
    <x v="0"/>
    <x v="5"/>
    <s v="Deepak Malik"/>
    <s v="demo.student383.deepakmalik@example.com"/>
    <n v="9000000383"/>
    <x v="3"/>
    <x v="4"/>
    <x v="1"/>
    <s v="CRS008"/>
    <x v="14"/>
    <x v="10"/>
    <x v="1"/>
    <x v="3"/>
    <x v="3"/>
    <x v="0"/>
    <n v="0"/>
    <s v="Synthetic"/>
  </r>
  <r>
    <n v="71"/>
    <d v="2025-06-19T03:12:01"/>
    <x v="5"/>
    <x v="0"/>
    <x v="5"/>
    <s v="Sahil Gupta"/>
    <s v="demo.student068.sahilgupta@example.com"/>
    <n v="9000000068"/>
    <x v="9"/>
    <x v="3"/>
    <x v="4"/>
    <s v="CRS006"/>
    <x v="11"/>
    <x v="3"/>
    <x v="0"/>
    <x v="0"/>
    <x v="3"/>
    <x v="1"/>
    <n v="0"/>
    <s v="Synthetic"/>
  </r>
  <r>
    <n v="440"/>
    <d v="2025-06-19T12:52:01"/>
    <x v="5"/>
    <x v="0"/>
    <x v="5"/>
    <s v="Rahul Saini"/>
    <s v="demo.student437.rahulsaini@example.com"/>
    <n v="9000000437"/>
    <x v="7"/>
    <x v="3"/>
    <x v="4"/>
    <s v="CRS011"/>
    <x v="7"/>
    <x v="6"/>
    <x v="1"/>
    <x v="0"/>
    <x v="3"/>
    <x v="2"/>
    <n v="0"/>
    <s v="Synthetic"/>
  </r>
  <r>
    <n v="31"/>
    <d v="2025-06-22T11:51:22"/>
    <x v="5"/>
    <x v="0"/>
    <x v="5"/>
    <s v="Shivani Khatri"/>
    <s v="demo.student028.shivanikhatri@example.com"/>
    <n v="9000000028"/>
    <x v="5"/>
    <x v="2"/>
    <x v="4"/>
    <s v="CRS005"/>
    <x v="4"/>
    <x v="3"/>
    <x v="1"/>
    <x v="0"/>
    <x v="5"/>
    <x v="2"/>
    <n v="0"/>
    <s v="Synthetic"/>
  </r>
  <r>
    <n v="111"/>
    <d v="2025-06-22T20:05:18"/>
    <x v="5"/>
    <x v="0"/>
    <x v="5"/>
    <s v="Gaurav Chauhan"/>
    <s v="demo.student108.gauravchauhan@example.com"/>
    <n v="9000000108"/>
    <x v="9"/>
    <x v="1"/>
    <x v="1"/>
    <s v="CRS015"/>
    <x v="9"/>
    <x v="8"/>
    <x v="0"/>
    <x v="2"/>
    <x v="3"/>
    <x v="3"/>
    <n v="1"/>
    <s v="Synthetic"/>
  </r>
  <r>
    <n v="268"/>
    <d v="2025-06-23T00:45:04"/>
    <x v="5"/>
    <x v="0"/>
    <x v="5"/>
    <s v="Deepak Sharma"/>
    <s v="demo.student265.deepaksharma@example.com"/>
    <n v="9000000265"/>
    <x v="8"/>
    <x v="3"/>
    <x v="4"/>
    <s v="CRS013"/>
    <x v="12"/>
    <x v="6"/>
    <x v="1"/>
    <x v="0"/>
    <x v="7"/>
    <x v="4"/>
    <n v="0"/>
    <s v="Synthetic"/>
  </r>
  <r>
    <n v="158"/>
    <d v="2025-06-25T15:49:27"/>
    <x v="5"/>
    <x v="0"/>
    <x v="5"/>
    <s v="Mehak Sharma"/>
    <s v="demo.student155.mehaksharma@example.com"/>
    <n v="9000000155"/>
    <x v="4"/>
    <x v="2"/>
    <x v="1"/>
    <s v="CRS009"/>
    <x v="13"/>
    <x v="10"/>
    <x v="1"/>
    <x v="0"/>
    <x v="7"/>
    <x v="3"/>
    <n v="1"/>
    <s v="Synthetic"/>
  </r>
  <r>
    <n v="293"/>
    <d v="2025-06-26T02:27:42"/>
    <x v="5"/>
    <x v="0"/>
    <x v="5"/>
    <s v="Akash Gupta"/>
    <s v="demo.student290.akashgupta@example.com"/>
    <n v="9000000290"/>
    <x v="2"/>
    <x v="0"/>
    <x v="1"/>
    <s v="CRS005"/>
    <x v="4"/>
    <x v="3"/>
    <x v="0"/>
    <x v="3"/>
    <x v="3"/>
    <x v="2"/>
    <n v="0"/>
    <s v="Synthetic"/>
  </r>
  <r>
    <n v="481"/>
    <d v="2025-06-26T03:02:08"/>
    <x v="5"/>
    <x v="0"/>
    <x v="5"/>
    <s v="Sonam Malik"/>
    <s v="demo.student478.sonammalik@example.com"/>
    <n v="9000000478"/>
    <x v="1"/>
    <x v="2"/>
    <x v="0"/>
    <s v="CRS004"/>
    <x v="2"/>
    <x v="2"/>
    <x v="0"/>
    <x v="0"/>
    <x v="1"/>
    <x v="2"/>
    <n v="0"/>
    <s v="Synthetic"/>
  </r>
  <r>
    <n v="34"/>
    <d v="2025-06-27T01:35:36"/>
    <x v="5"/>
    <x v="0"/>
    <x v="5"/>
    <s v="Neha Verma"/>
    <s v="demo.student031.nehaverma@example.com"/>
    <n v="9000000031"/>
    <x v="6"/>
    <x v="0"/>
    <x v="2"/>
    <s v="CRS005"/>
    <x v="4"/>
    <x v="3"/>
    <x v="0"/>
    <x v="1"/>
    <x v="0"/>
    <x v="0"/>
    <n v="0"/>
    <s v="Synthetic"/>
  </r>
  <r>
    <n v="294"/>
    <d v="2025-06-27T02:08:42"/>
    <x v="5"/>
    <x v="0"/>
    <x v="5"/>
    <s v="Yash Jain"/>
    <s v="demo.student291.yashjain@example.com"/>
    <n v="9000000291"/>
    <x v="0"/>
    <x v="2"/>
    <x v="3"/>
    <s v="CRS010"/>
    <x v="5"/>
    <x v="4"/>
    <x v="1"/>
    <x v="2"/>
    <x v="1"/>
    <x v="0"/>
    <n v="0"/>
    <s v="Synthetic"/>
  </r>
  <r>
    <n v="188"/>
    <d v="2025-06-29T00:51:28"/>
    <x v="5"/>
    <x v="0"/>
    <x v="5"/>
    <s v="Sahil Gupta"/>
    <s v="demo.student185.sahilgupta@example.com"/>
    <n v="9000000185"/>
    <x v="5"/>
    <x v="4"/>
    <x v="0"/>
    <s v="CRS006"/>
    <x v="11"/>
    <x v="3"/>
    <x v="0"/>
    <x v="2"/>
    <x v="2"/>
    <x v="3"/>
    <n v="1"/>
    <s v="Synthetic"/>
  </r>
  <r>
    <n v="261"/>
    <d v="2025-06-30T03:57:41"/>
    <x v="5"/>
    <x v="0"/>
    <x v="5"/>
    <s v="Gaurav Mehta"/>
    <s v="demo.student258.gauravmehta@example.com"/>
    <n v="9000000258"/>
    <x v="0"/>
    <x v="2"/>
    <x v="0"/>
    <s v="CRS001"/>
    <x v="0"/>
    <x v="0"/>
    <x v="1"/>
    <x v="2"/>
    <x v="1"/>
    <x v="3"/>
    <n v="1"/>
    <s v="Synthetic"/>
  </r>
  <r>
    <n v="59"/>
    <d v="2025-06-30T17:18:22"/>
    <x v="5"/>
    <x v="0"/>
    <x v="5"/>
    <s v="Mehak Malik"/>
    <s v="demo.student056.mehakmalik@example.com"/>
    <n v="9000000056"/>
    <x v="9"/>
    <x v="0"/>
    <x v="3"/>
    <s v="CRS003"/>
    <x v="6"/>
    <x v="5"/>
    <x v="1"/>
    <x v="0"/>
    <x v="7"/>
    <x v="1"/>
    <n v="0"/>
    <s v="Synthetic"/>
  </r>
  <r>
    <n v="443"/>
    <d v="2025-07-01T02:22:10"/>
    <x v="6"/>
    <x v="0"/>
    <x v="6"/>
    <s v="Yash Khatri"/>
    <s v="demo.student440.yashkhatri@example.com"/>
    <n v="9000000440"/>
    <x v="6"/>
    <x v="0"/>
    <x v="0"/>
    <s v="CRS008"/>
    <x v="14"/>
    <x v="10"/>
    <x v="1"/>
    <x v="2"/>
    <x v="7"/>
    <x v="4"/>
    <n v="0"/>
    <s v="Synthetic"/>
  </r>
  <r>
    <n v="373"/>
    <d v="2025-07-02T13:00:33"/>
    <x v="6"/>
    <x v="0"/>
    <x v="6"/>
    <s v="Pooja Yadav"/>
    <s v="demo.student370.poojayadav@example.com"/>
    <n v="9000000370"/>
    <x v="7"/>
    <x v="2"/>
    <x v="0"/>
    <s v="CRS011"/>
    <x v="7"/>
    <x v="6"/>
    <x v="1"/>
    <x v="1"/>
    <x v="0"/>
    <x v="1"/>
    <n v="0"/>
    <s v="Synthetic"/>
  </r>
  <r>
    <n v="166"/>
    <d v="2025-07-03T21:59:57"/>
    <x v="6"/>
    <x v="0"/>
    <x v="6"/>
    <s v="Aarav Gupta"/>
    <s v="demo.student163.aaravgupta@example.com"/>
    <n v="9000000163"/>
    <x v="1"/>
    <x v="0"/>
    <x v="1"/>
    <s v="CRS012"/>
    <x v="10"/>
    <x v="9"/>
    <x v="1"/>
    <x v="0"/>
    <x v="3"/>
    <x v="2"/>
    <n v="0"/>
    <s v="Synthetic"/>
  </r>
  <r>
    <n v="354"/>
    <d v="2025-07-04T22:06:02"/>
    <x v="6"/>
    <x v="0"/>
    <x v="6"/>
    <s v="Manish Mehta"/>
    <s v="demo.student351.manishmehta@example.com"/>
    <n v="9000000351"/>
    <x v="0"/>
    <x v="1"/>
    <x v="1"/>
    <s v="CRS007"/>
    <x v="1"/>
    <x v="1"/>
    <x v="1"/>
    <x v="3"/>
    <x v="4"/>
    <x v="4"/>
    <n v="0"/>
    <s v="Synthetic"/>
  </r>
  <r>
    <n v="250"/>
    <d v="2025-07-05T17:31:24"/>
    <x v="6"/>
    <x v="0"/>
    <x v="6"/>
    <s v="Anjali Gupta"/>
    <s v="demo.student247.anjaligupta@example.com"/>
    <n v="9000000247"/>
    <x v="1"/>
    <x v="4"/>
    <x v="1"/>
    <s v="CRS012"/>
    <x v="10"/>
    <x v="9"/>
    <x v="1"/>
    <x v="3"/>
    <x v="5"/>
    <x v="0"/>
    <n v="0"/>
    <s v="Synthetic"/>
  </r>
  <r>
    <n v="39"/>
    <d v="2025-07-06T16:24:39"/>
    <x v="6"/>
    <x v="0"/>
    <x v="6"/>
    <s v="Khushi Gupta"/>
    <s v="demo.student036.khushigupta@example.com"/>
    <n v="9000000036"/>
    <x v="8"/>
    <x v="0"/>
    <x v="1"/>
    <s v="CRS003"/>
    <x v="6"/>
    <x v="5"/>
    <x v="0"/>
    <x v="3"/>
    <x v="0"/>
    <x v="4"/>
    <n v="0"/>
    <s v="Synthetic"/>
  </r>
  <r>
    <n v="181"/>
    <d v="2025-07-07T12:58:21"/>
    <x v="6"/>
    <x v="0"/>
    <x v="6"/>
    <s v="Riya Singh"/>
    <s v="demo.student178.riyasingh@example.com"/>
    <n v="9000000178"/>
    <x v="4"/>
    <x v="0"/>
    <x v="2"/>
    <s v="CRS008"/>
    <x v="14"/>
    <x v="10"/>
    <x v="0"/>
    <x v="2"/>
    <x v="4"/>
    <x v="4"/>
    <n v="0"/>
    <s v="Synthetic"/>
  </r>
  <r>
    <n v="30"/>
    <d v="2025-07-07T20:12:10"/>
    <x v="6"/>
    <x v="0"/>
    <x v="6"/>
    <s v="Aarav Dahiya"/>
    <s v="demo.student027.aaravdahiya@example.com"/>
    <n v="9000000027"/>
    <x v="5"/>
    <x v="0"/>
    <x v="3"/>
    <s v="CRS002"/>
    <x v="3"/>
    <x v="0"/>
    <x v="0"/>
    <x v="2"/>
    <x v="6"/>
    <x v="2"/>
    <n v="0"/>
    <s v="Synthetic"/>
  </r>
  <r>
    <n v="58"/>
    <d v="2025-07-10T01:10:12"/>
    <x v="6"/>
    <x v="0"/>
    <x v="6"/>
    <s v="Neha Yadav"/>
    <s v="demo.student055.nehayadav@example.com"/>
    <n v="9000000055"/>
    <x v="0"/>
    <x v="2"/>
    <x v="0"/>
    <s v="CRS003"/>
    <x v="6"/>
    <x v="5"/>
    <x v="0"/>
    <x v="1"/>
    <x v="3"/>
    <x v="4"/>
    <n v="0"/>
    <s v="Synthetic"/>
  </r>
  <r>
    <n v="255"/>
    <d v="2025-07-10T07:46:10"/>
    <x v="6"/>
    <x v="0"/>
    <x v="6"/>
    <s v="Aarav Sharma"/>
    <s v="demo.student252.aaravsharma@example.com"/>
    <n v="9000000252"/>
    <x v="1"/>
    <x v="0"/>
    <x v="2"/>
    <s v="CRS001"/>
    <x v="0"/>
    <x v="0"/>
    <x v="1"/>
    <x v="1"/>
    <x v="3"/>
    <x v="3"/>
    <n v="1"/>
    <s v="Synthetic"/>
  </r>
  <r>
    <n v="201"/>
    <d v="2025-07-11T19:09:24"/>
    <x v="6"/>
    <x v="0"/>
    <x v="6"/>
    <s v="Arjun Khatri"/>
    <s v="demo.student198.arjunkhatri@example.com"/>
    <n v="9000000198"/>
    <x v="7"/>
    <x v="2"/>
    <x v="1"/>
    <s v="CRS013"/>
    <x v="12"/>
    <x v="6"/>
    <x v="1"/>
    <x v="2"/>
    <x v="7"/>
    <x v="0"/>
    <n v="0"/>
    <s v="Synthetic"/>
  </r>
  <r>
    <n v="233"/>
    <d v="2025-07-12T15:45:17"/>
    <x v="6"/>
    <x v="0"/>
    <x v="6"/>
    <s v="Diya Kumar"/>
    <s v="demo.student230.diyakumar@example.com"/>
    <n v="9000000230"/>
    <x v="5"/>
    <x v="4"/>
    <x v="0"/>
    <s v="CRS006"/>
    <x v="11"/>
    <x v="3"/>
    <x v="1"/>
    <x v="2"/>
    <x v="0"/>
    <x v="3"/>
    <n v="1"/>
    <s v="Synthetic"/>
  </r>
  <r>
    <n v="244"/>
    <d v="2025-07-13T03:10:07"/>
    <x v="6"/>
    <x v="0"/>
    <x v="6"/>
    <s v="Diya Kumar"/>
    <s v="demo.student241.diyakumar@example.com"/>
    <n v="9000000241"/>
    <x v="0"/>
    <x v="4"/>
    <x v="0"/>
    <s v="CRS002"/>
    <x v="3"/>
    <x v="0"/>
    <x v="1"/>
    <x v="3"/>
    <x v="4"/>
    <x v="3"/>
    <n v="1"/>
    <s v="Synthetic"/>
  </r>
  <r>
    <n v="285"/>
    <d v="2025-07-19T17:27:02"/>
    <x v="6"/>
    <x v="0"/>
    <x v="6"/>
    <s v="Khushi Kumar"/>
    <s v="demo.student282.khushikumar@example.com"/>
    <n v="9000000282"/>
    <x v="7"/>
    <x v="0"/>
    <x v="1"/>
    <s v="CRS006"/>
    <x v="11"/>
    <x v="3"/>
    <x v="0"/>
    <x v="2"/>
    <x v="0"/>
    <x v="0"/>
    <n v="0"/>
    <s v="Synthetic"/>
  </r>
  <r>
    <n v="474"/>
    <d v="2025-07-20T12:29:29"/>
    <x v="6"/>
    <x v="0"/>
    <x v="6"/>
    <s v="Tanya Gupta"/>
    <s v="demo.student471.tanyagupta@example.com"/>
    <n v="9000000471"/>
    <x v="5"/>
    <x v="1"/>
    <x v="2"/>
    <s v="CRS011"/>
    <x v="7"/>
    <x v="6"/>
    <x v="1"/>
    <x v="0"/>
    <x v="3"/>
    <x v="3"/>
    <n v="1"/>
    <s v="Synthetic"/>
  </r>
  <r>
    <n v="469"/>
    <d v="2025-07-21T06:44:04"/>
    <x v="6"/>
    <x v="0"/>
    <x v="6"/>
    <s v="Khushi Kumar"/>
    <s v="demo.student466.khushikumar@example.com"/>
    <n v="9000000466"/>
    <x v="0"/>
    <x v="0"/>
    <x v="1"/>
    <s v="CRS013"/>
    <x v="12"/>
    <x v="6"/>
    <x v="1"/>
    <x v="3"/>
    <x v="0"/>
    <x v="3"/>
    <n v="1"/>
    <s v="Synthetic"/>
  </r>
  <r>
    <n v="252"/>
    <d v="2025-07-21T17:42:49"/>
    <x v="6"/>
    <x v="0"/>
    <x v="6"/>
    <s v="Varun Dahiya"/>
    <s v="demo.student249.varundahiya@example.com"/>
    <n v="9000000249"/>
    <x v="8"/>
    <x v="0"/>
    <x v="2"/>
    <s v="CRS012"/>
    <x v="10"/>
    <x v="9"/>
    <x v="1"/>
    <x v="3"/>
    <x v="7"/>
    <x v="1"/>
    <n v="0"/>
    <s v="Synthetic"/>
  </r>
  <r>
    <n v="186"/>
    <d v="2025-07-23T12:51:43"/>
    <x v="6"/>
    <x v="0"/>
    <x v="6"/>
    <s v="Simran Dahiya"/>
    <s v="demo.student183.simrandahiya@example.com"/>
    <n v="9000000183"/>
    <x v="6"/>
    <x v="0"/>
    <x v="1"/>
    <s v="CRS005"/>
    <x v="4"/>
    <x v="3"/>
    <x v="1"/>
    <x v="2"/>
    <x v="3"/>
    <x v="2"/>
    <n v="0"/>
    <s v="Synthetic"/>
  </r>
  <r>
    <n v="129"/>
    <d v="2025-07-23T16:52:15"/>
    <x v="6"/>
    <x v="0"/>
    <x v="6"/>
    <s v="Varun Jain"/>
    <s v="demo.student126.varunjain@example.com"/>
    <n v="9000000126"/>
    <x v="2"/>
    <x v="1"/>
    <x v="3"/>
    <s v="CRS002"/>
    <x v="3"/>
    <x v="0"/>
    <x v="0"/>
    <x v="0"/>
    <x v="7"/>
    <x v="3"/>
    <n v="1"/>
    <s v="Synthetic"/>
  </r>
  <r>
    <n v="229"/>
    <d v="2025-07-24T12:13:51"/>
    <x v="6"/>
    <x v="0"/>
    <x v="6"/>
    <s v="Nikhil Chauhan"/>
    <s v="demo.student226.nikhilchauhan@example.com"/>
    <n v="9000000226"/>
    <x v="6"/>
    <x v="1"/>
    <x v="3"/>
    <s v="CRS008"/>
    <x v="14"/>
    <x v="10"/>
    <x v="0"/>
    <x v="2"/>
    <x v="4"/>
    <x v="5"/>
    <n v="0"/>
    <s v="Synthetic"/>
  </r>
  <r>
    <n v="331"/>
    <d v="2025-07-25T12:38:50"/>
    <x v="6"/>
    <x v="0"/>
    <x v="6"/>
    <s v="Mohit Bansal"/>
    <s v="demo.student328.mohitbansal@example.com"/>
    <n v="9000000328"/>
    <x v="9"/>
    <x v="2"/>
    <x v="0"/>
    <s v="CRS005"/>
    <x v="4"/>
    <x v="3"/>
    <x v="0"/>
    <x v="3"/>
    <x v="4"/>
    <x v="3"/>
    <n v="1"/>
    <s v="Synthetic"/>
  </r>
  <r>
    <n v="67"/>
    <d v="2025-07-25T18:51:54"/>
    <x v="6"/>
    <x v="0"/>
    <x v="6"/>
    <s v="Rahul Verma"/>
    <s v="demo.student064.rahulverma@example.com"/>
    <n v="9000000064"/>
    <x v="0"/>
    <x v="4"/>
    <x v="2"/>
    <s v="CRS001"/>
    <x v="0"/>
    <x v="0"/>
    <x v="1"/>
    <x v="0"/>
    <x v="6"/>
    <x v="1"/>
    <n v="0"/>
    <s v="Synthetic"/>
  </r>
  <r>
    <n v="301"/>
    <d v="2025-07-28T23:46:30"/>
    <x v="6"/>
    <x v="0"/>
    <x v="6"/>
    <s v="Mehak Sharma"/>
    <s v="demo.student298.mehaksharma@example.com"/>
    <n v="9000000298"/>
    <x v="6"/>
    <x v="4"/>
    <x v="2"/>
    <s v="CRS015"/>
    <x v="9"/>
    <x v="8"/>
    <x v="1"/>
    <x v="0"/>
    <x v="0"/>
    <x v="3"/>
    <n v="1"/>
    <s v="Synthetic"/>
  </r>
  <r>
    <n v="27"/>
    <d v="2025-07-30T03:42:02"/>
    <x v="6"/>
    <x v="0"/>
    <x v="6"/>
    <s v="Kajal Mehta"/>
    <s v="demo.student024.kajalmehta@example.com"/>
    <n v="9000000024"/>
    <x v="3"/>
    <x v="1"/>
    <x v="1"/>
    <s v="CRS011"/>
    <x v="7"/>
    <x v="6"/>
    <x v="1"/>
    <x v="2"/>
    <x v="0"/>
    <x v="3"/>
    <n v="1"/>
    <s v="Synthetic"/>
  </r>
  <r>
    <n v="319"/>
    <d v="2025-08-01T19:55:44"/>
    <x v="7"/>
    <x v="0"/>
    <x v="7"/>
    <s v="Nisha Bansal"/>
    <s v="demo.student316.nishabansal@example.com"/>
    <n v="9000000316"/>
    <x v="4"/>
    <x v="2"/>
    <x v="4"/>
    <s v="CRS008"/>
    <x v="14"/>
    <x v="10"/>
    <x v="0"/>
    <x v="1"/>
    <x v="5"/>
    <x v="3"/>
    <n v="1"/>
    <s v="Synthetic"/>
  </r>
  <r>
    <n v="238"/>
    <d v="2025-08-02T05:05:34"/>
    <x v="7"/>
    <x v="0"/>
    <x v="7"/>
    <s v="Nikhil Singh"/>
    <s v="demo.student235.nikhilsingh@example.com"/>
    <n v="9000000235"/>
    <x v="7"/>
    <x v="1"/>
    <x v="2"/>
    <s v="CRS015"/>
    <x v="9"/>
    <x v="8"/>
    <x v="1"/>
    <x v="3"/>
    <x v="0"/>
    <x v="0"/>
    <n v="0"/>
    <s v="Synthetic"/>
  </r>
  <r>
    <n v="271"/>
    <d v="2025-08-02T23:01:54"/>
    <x v="7"/>
    <x v="0"/>
    <x v="7"/>
    <s v="Kajal Yadav"/>
    <s v="demo.student268.kajalyadav@example.com"/>
    <n v="9000000268"/>
    <x v="2"/>
    <x v="2"/>
    <x v="0"/>
    <s v="CRS003"/>
    <x v="6"/>
    <x v="5"/>
    <x v="0"/>
    <x v="3"/>
    <x v="6"/>
    <x v="3"/>
    <n v="1"/>
    <s v="Synthetic"/>
  </r>
  <r>
    <n v="445"/>
    <d v="2025-08-03T05:25:11"/>
    <x v="7"/>
    <x v="0"/>
    <x v="7"/>
    <s v="Yash Yadav"/>
    <s v="demo.student442.yashyadav@example.com"/>
    <n v="9000000442"/>
    <x v="3"/>
    <x v="0"/>
    <x v="0"/>
    <s v="CRS008"/>
    <x v="14"/>
    <x v="10"/>
    <x v="0"/>
    <x v="3"/>
    <x v="2"/>
    <x v="1"/>
    <n v="0"/>
    <s v="Synthetic"/>
  </r>
  <r>
    <n v="44"/>
    <d v="2025-08-05T10:12:51"/>
    <x v="7"/>
    <x v="0"/>
    <x v="7"/>
    <s v="Sneha Dahiya"/>
    <s v="demo.student041.snehadahiya@example.com"/>
    <n v="9000000041"/>
    <x v="8"/>
    <x v="1"/>
    <x v="1"/>
    <s v="CRS015"/>
    <x v="9"/>
    <x v="8"/>
    <x v="1"/>
    <x v="2"/>
    <x v="1"/>
    <x v="3"/>
    <n v="1"/>
    <s v="Synthetic"/>
  </r>
  <r>
    <n v="40"/>
    <d v="2025-08-08T23:15:08"/>
    <x v="7"/>
    <x v="0"/>
    <x v="7"/>
    <s v="Neha Sharma"/>
    <s v="demo.student037.nehasharma@example.com"/>
    <n v="9000000037"/>
    <x v="9"/>
    <x v="2"/>
    <x v="0"/>
    <s v="CRS012"/>
    <x v="10"/>
    <x v="9"/>
    <x v="1"/>
    <x v="0"/>
    <x v="7"/>
    <x v="3"/>
    <n v="1"/>
    <s v="Synthetic"/>
  </r>
  <r>
    <n v="388"/>
    <d v="2025-08-09T12:58:37"/>
    <x v="7"/>
    <x v="0"/>
    <x v="7"/>
    <s v="Aditi Saini"/>
    <s v="demo.student385.aditisaini@example.com"/>
    <n v="9000000385"/>
    <x v="7"/>
    <x v="0"/>
    <x v="2"/>
    <s v="CRS011"/>
    <x v="7"/>
    <x v="6"/>
    <x v="1"/>
    <x v="2"/>
    <x v="3"/>
    <x v="1"/>
    <n v="0"/>
    <s v="Synthetic"/>
  </r>
  <r>
    <n v="131"/>
    <d v="2025-08-14T21:44:42"/>
    <x v="7"/>
    <x v="0"/>
    <x v="7"/>
    <s v="Prachi Mehta"/>
    <s v="demo.student128.prachimehta@example.com"/>
    <n v="9000000128"/>
    <x v="2"/>
    <x v="2"/>
    <x v="4"/>
    <s v="CRS009"/>
    <x v="13"/>
    <x v="10"/>
    <x v="0"/>
    <x v="0"/>
    <x v="5"/>
    <x v="1"/>
    <n v="0"/>
    <s v="Synthetic"/>
  </r>
  <r>
    <n v="79"/>
    <d v="2025-08-18T10:17:32"/>
    <x v="7"/>
    <x v="0"/>
    <x v="7"/>
    <s v="Nisha Jain"/>
    <s v="demo.student076.nishajain@example.com"/>
    <n v="9000000076"/>
    <x v="9"/>
    <x v="0"/>
    <x v="3"/>
    <s v="CRS009"/>
    <x v="13"/>
    <x v="10"/>
    <x v="1"/>
    <x v="3"/>
    <x v="7"/>
    <x v="3"/>
    <n v="1"/>
    <s v="Synthetic"/>
  </r>
  <r>
    <n v="167"/>
    <d v="2025-08-18T12:53:58"/>
    <x v="7"/>
    <x v="0"/>
    <x v="7"/>
    <s v="Nikhil Mehta"/>
    <s v="demo.student164.nikhilmehta@example.com"/>
    <n v="9000000164"/>
    <x v="6"/>
    <x v="4"/>
    <x v="0"/>
    <s v="CRS015"/>
    <x v="9"/>
    <x v="8"/>
    <x v="0"/>
    <x v="1"/>
    <x v="5"/>
    <x v="2"/>
    <n v="0"/>
    <s v="Synthetic"/>
  </r>
  <r>
    <n v="222"/>
    <d v="2025-08-20T09:46:24"/>
    <x v="7"/>
    <x v="0"/>
    <x v="7"/>
    <s v="Kajal Chauhan"/>
    <s v="demo.student219.kajalchauhan@example.com"/>
    <n v="9000000219"/>
    <x v="3"/>
    <x v="0"/>
    <x v="1"/>
    <s v="CRS013"/>
    <x v="12"/>
    <x v="6"/>
    <x v="1"/>
    <x v="0"/>
    <x v="3"/>
    <x v="3"/>
    <n v="1"/>
    <s v="Synthetic"/>
  </r>
  <r>
    <n v="6"/>
    <d v="2025-08-22T15:24:46"/>
    <x v="7"/>
    <x v="0"/>
    <x v="7"/>
    <s v="Nisha Bansal"/>
    <s v="demo.student003.nishabansal@example.com"/>
    <n v="9000000003"/>
    <x v="0"/>
    <x v="0"/>
    <x v="2"/>
    <s v="CRS012"/>
    <x v="10"/>
    <x v="9"/>
    <x v="1"/>
    <x v="0"/>
    <x v="0"/>
    <x v="4"/>
    <n v="0"/>
    <s v="Synthetic"/>
  </r>
  <r>
    <n v="42"/>
    <d v="2025-08-25T13:40:14"/>
    <x v="7"/>
    <x v="0"/>
    <x v="7"/>
    <s v="Neha Malik"/>
    <s v="demo.student039.nehamalik@example.com"/>
    <n v="9000000039"/>
    <x v="5"/>
    <x v="0"/>
    <x v="0"/>
    <s v="CRS012"/>
    <x v="10"/>
    <x v="9"/>
    <x v="1"/>
    <x v="2"/>
    <x v="3"/>
    <x v="2"/>
    <n v="0"/>
    <s v="Synthetic"/>
  </r>
  <r>
    <n v="466"/>
    <d v="2025-08-26T03:14:06"/>
    <x v="7"/>
    <x v="0"/>
    <x v="7"/>
    <s v="Prachi Panchal"/>
    <s v="demo.student463.prachipanchal@example.com"/>
    <n v="9000000463"/>
    <x v="8"/>
    <x v="1"/>
    <x v="1"/>
    <s v="CRS013"/>
    <x v="12"/>
    <x v="6"/>
    <x v="1"/>
    <x v="1"/>
    <x v="0"/>
    <x v="3"/>
    <n v="1"/>
    <s v="Synthetic"/>
  </r>
  <r>
    <n v="376"/>
    <d v="2025-08-26T15:24:25"/>
    <x v="7"/>
    <x v="0"/>
    <x v="7"/>
    <s v="Sneha Malik"/>
    <s v="demo.student373.snehamalik@example.com"/>
    <n v="9000000373"/>
    <x v="9"/>
    <x v="0"/>
    <x v="1"/>
    <s v="CRS013"/>
    <x v="12"/>
    <x v="6"/>
    <x v="1"/>
    <x v="3"/>
    <x v="4"/>
    <x v="3"/>
    <n v="1"/>
    <s v="Synthetic"/>
  </r>
  <r>
    <n v="85"/>
    <d v="2025-08-29T08:53:31"/>
    <x v="7"/>
    <x v="0"/>
    <x v="7"/>
    <s v="Aditi Singh"/>
    <s v="demo.student082.aditisingh@example.com"/>
    <n v="9000000082"/>
    <x v="6"/>
    <x v="2"/>
    <x v="0"/>
    <s v="CRS013"/>
    <x v="12"/>
    <x v="6"/>
    <x v="1"/>
    <x v="1"/>
    <x v="2"/>
    <x v="4"/>
    <n v="0"/>
    <s v="Synthetic"/>
  </r>
  <r>
    <n v="133"/>
    <d v="2025-08-29T14:35:48"/>
    <x v="7"/>
    <x v="0"/>
    <x v="7"/>
    <s v="Diya Panchal"/>
    <s v="demo.student130.diyapanchal@example.com"/>
    <n v="9000000130"/>
    <x v="5"/>
    <x v="5"/>
    <x v="2"/>
    <s v="CRS002"/>
    <x v="3"/>
    <x v="0"/>
    <x v="1"/>
    <x v="2"/>
    <x v="7"/>
    <x v="3"/>
    <n v="1"/>
    <s v="Synthetic"/>
  </r>
  <r>
    <n v="428"/>
    <d v="2025-08-29T21:30:19"/>
    <x v="7"/>
    <x v="0"/>
    <x v="7"/>
    <s v="Saksham Dahiya"/>
    <s v="demo.student425.sakshamdahiya@example.com"/>
    <n v="9000000425"/>
    <x v="6"/>
    <x v="0"/>
    <x v="1"/>
    <s v="CRS009"/>
    <x v="13"/>
    <x v="10"/>
    <x v="0"/>
    <x v="3"/>
    <x v="0"/>
    <x v="3"/>
    <n v="1"/>
    <s v="Synthetic"/>
  </r>
  <r>
    <n v="249"/>
    <d v="2025-08-30T02:04:59"/>
    <x v="7"/>
    <x v="0"/>
    <x v="7"/>
    <s v="Yash Panchal"/>
    <s v="demo.student246.yashpanchal@example.com"/>
    <n v="9000000246"/>
    <x v="7"/>
    <x v="4"/>
    <x v="0"/>
    <s v="CRS002"/>
    <x v="3"/>
    <x v="0"/>
    <x v="0"/>
    <x v="1"/>
    <x v="2"/>
    <x v="1"/>
    <n v="0"/>
    <s v="Synthetic"/>
  </r>
  <r>
    <n v="92"/>
    <d v="2025-09-01T12:52:23"/>
    <x v="8"/>
    <x v="0"/>
    <x v="8"/>
    <s v="Saksham Sharma"/>
    <s v="demo.student089.sakshamsharma@example.com"/>
    <n v="9000000089"/>
    <x v="3"/>
    <x v="0"/>
    <x v="1"/>
    <s v="CRS002"/>
    <x v="3"/>
    <x v="0"/>
    <x v="1"/>
    <x v="2"/>
    <x v="0"/>
    <x v="3"/>
    <n v="1"/>
    <s v="Synthetic"/>
  </r>
  <r>
    <n v="457"/>
    <d v="2025-09-02T23:14:55"/>
    <x v="8"/>
    <x v="0"/>
    <x v="8"/>
    <s v="Aarav Gupta"/>
    <s v="demo.student454.aaravgupta@example.com"/>
    <n v="9000000454"/>
    <x v="1"/>
    <x v="1"/>
    <x v="3"/>
    <s v="CRS004"/>
    <x v="2"/>
    <x v="2"/>
    <x v="1"/>
    <x v="1"/>
    <x v="3"/>
    <x v="0"/>
    <n v="0"/>
    <s v="Synthetic"/>
  </r>
  <r>
    <n v="208"/>
    <d v="2025-09-06T06:09:26"/>
    <x v="8"/>
    <x v="0"/>
    <x v="8"/>
    <s v="Sneha Yadav"/>
    <s v="demo.student205.snehayadav@example.com"/>
    <n v="9000000205"/>
    <x v="2"/>
    <x v="0"/>
    <x v="0"/>
    <s v="CRS007"/>
    <x v="1"/>
    <x v="1"/>
    <x v="1"/>
    <x v="1"/>
    <x v="0"/>
    <x v="2"/>
    <n v="0"/>
    <s v="Synthetic"/>
  </r>
  <r>
    <n v="284"/>
    <d v="2025-09-06T13:15:35"/>
    <x v="8"/>
    <x v="0"/>
    <x v="8"/>
    <s v="Pooja Mehta"/>
    <s v="demo.student281.poojamehta@example.com"/>
    <n v="9000000281"/>
    <x v="8"/>
    <x v="2"/>
    <x v="4"/>
    <s v="CRS006"/>
    <x v="11"/>
    <x v="3"/>
    <x v="0"/>
    <x v="0"/>
    <x v="0"/>
    <x v="1"/>
    <n v="0"/>
    <s v="Synthetic"/>
  </r>
  <r>
    <n v="46"/>
    <d v="2025-09-09T11:15:36"/>
    <x v="8"/>
    <x v="0"/>
    <x v="8"/>
    <s v="Akash Malik"/>
    <s v="demo.student043.akashmalik@example.com"/>
    <n v="9000000043"/>
    <x v="7"/>
    <x v="0"/>
    <x v="0"/>
    <s v="CRS005"/>
    <x v="4"/>
    <x v="3"/>
    <x v="1"/>
    <x v="3"/>
    <x v="6"/>
    <x v="1"/>
    <n v="0"/>
    <s v="Synthetic"/>
  </r>
  <r>
    <n v="358"/>
    <d v="2025-09-15T03:08:13"/>
    <x v="8"/>
    <x v="0"/>
    <x v="8"/>
    <s v="Isha Panchal"/>
    <s v="demo.student355.ishapanchal@example.com"/>
    <n v="9000000355"/>
    <x v="9"/>
    <x v="1"/>
    <x v="2"/>
    <s v="CRS001"/>
    <x v="0"/>
    <x v="0"/>
    <x v="0"/>
    <x v="3"/>
    <x v="3"/>
    <x v="3"/>
    <n v="1"/>
    <s v="Synthetic"/>
  </r>
  <r>
    <n v="32"/>
    <d v="2025-09-15T07:23:48"/>
    <x v="8"/>
    <x v="0"/>
    <x v="8"/>
    <s v="Prachi Jain"/>
    <s v="demo.student029.prachijain@example.com"/>
    <n v="9000000029"/>
    <x v="6"/>
    <x v="1"/>
    <x v="3"/>
    <s v="CRS009"/>
    <x v="13"/>
    <x v="10"/>
    <x v="1"/>
    <x v="0"/>
    <x v="0"/>
    <x v="2"/>
    <n v="0"/>
    <s v="Synthetic"/>
  </r>
  <r>
    <n v="218"/>
    <d v="2025-09-15T11:05:39"/>
    <x v="8"/>
    <x v="0"/>
    <x v="8"/>
    <s v="Mehak Dahiya"/>
    <s v="demo.student215.mehakdahiya@example.com"/>
    <n v="9000000215"/>
    <x v="0"/>
    <x v="2"/>
    <x v="0"/>
    <s v="CRS003"/>
    <x v="6"/>
    <x v="5"/>
    <x v="1"/>
    <x v="1"/>
    <x v="7"/>
    <x v="5"/>
    <n v="0"/>
    <s v="Synthetic"/>
  </r>
  <r>
    <n v="279"/>
    <d v="2025-09-16T00:58:11"/>
    <x v="8"/>
    <x v="0"/>
    <x v="8"/>
    <s v="Manish Sharma"/>
    <s v="demo.student276.manishsharma@example.com"/>
    <n v="9000000276"/>
    <x v="3"/>
    <x v="4"/>
    <x v="1"/>
    <s v="CRS001"/>
    <x v="0"/>
    <x v="0"/>
    <x v="0"/>
    <x v="0"/>
    <x v="7"/>
    <x v="2"/>
    <n v="0"/>
    <s v="Synthetic"/>
  </r>
  <r>
    <n v="342"/>
    <d v="2025-09-16T05:25:05"/>
    <x v="8"/>
    <x v="0"/>
    <x v="8"/>
    <s v="Ananya Chauhan"/>
    <s v="demo.student339.ananyachauhan@example.com"/>
    <n v="9000000339"/>
    <x v="0"/>
    <x v="0"/>
    <x v="0"/>
    <s v="CRS008"/>
    <x v="14"/>
    <x v="10"/>
    <x v="1"/>
    <x v="0"/>
    <x v="7"/>
    <x v="2"/>
    <n v="0"/>
    <s v="Synthetic"/>
  </r>
  <r>
    <n v="54"/>
    <d v="2025-09-16T05:49:47"/>
    <x v="8"/>
    <x v="0"/>
    <x v="8"/>
    <s v="Sonam Sharma"/>
    <s v="demo.student051.sonamsharma@example.com"/>
    <n v="9000000051"/>
    <x v="7"/>
    <x v="0"/>
    <x v="0"/>
    <s v="CRS010"/>
    <x v="5"/>
    <x v="4"/>
    <x v="1"/>
    <x v="3"/>
    <x v="5"/>
    <x v="0"/>
    <n v="0"/>
    <s v="Synthetic"/>
  </r>
  <r>
    <n v="184"/>
    <d v="2025-09-16T23:54:16"/>
    <x v="8"/>
    <x v="0"/>
    <x v="8"/>
    <s v="Khushi Malik"/>
    <s v="demo.student181.khushimalik@example.com"/>
    <n v="9000000181"/>
    <x v="2"/>
    <x v="0"/>
    <x v="0"/>
    <s v="CRS015"/>
    <x v="9"/>
    <x v="8"/>
    <x v="0"/>
    <x v="1"/>
    <x v="4"/>
    <x v="2"/>
    <n v="0"/>
    <s v="Synthetic"/>
  </r>
  <r>
    <n v="501"/>
    <d v="2025-09-17T05:50:36"/>
    <x v="8"/>
    <x v="0"/>
    <x v="8"/>
    <s v="Nisha Khatri"/>
    <s v="demo.student498.nishakhatri@example.com"/>
    <n v="9000000498"/>
    <x v="6"/>
    <x v="3"/>
    <x v="4"/>
    <s v="CRS011"/>
    <x v="7"/>
    <x v="6"/>
    <x v="1"/>
    <x v="1"/>
    <x v="3"/>
    <x v="4"/>
    <n v="0"/>
    <s v="Synthetic"/>
  </r>
  <r>
    <n v="460"/>
    <d v="2025-09-18T02:28:29"/>
    <x v="8"/>
    <x v="0"/>
    <x v="8"/>
    <s v="Arjun Khatri"/>
    <s v="demo.student457.arjunkhatri@example.com"/>
    <n v="9000000457"/>
    <x v="6"/>
    <x v="2"/>
    <x v="4"/>
    <s v="CRS013"/>
    <x v="12"/>
    <x v="6"/>
    <x v="1"/>
    <x v="2"/>
    <x v="4"/>
    <x v="5"/>
    <n v="0"/>
    <s v="Synthetic"/>
  </r>
  <r>
    <n v="162"/>
    <d v="2025-09-18T14:38:15"/>
    <x v="8"/>
    <x v="0"/>
    <x v="8"/>
    <s v="Nikhil Panchal"/>
    <s v="demo.student159.nikhilpanchal@example.com"/>
    <n v="9000000159"/>
    <x v="2"/>
    <x v="0"/>
    <x v="1"/>
    <s v="CRS015"/>
    <x v="9"/>
    <x v="8"/>
    <x v="1"/>
    <x v="1"/>
    <x v="4"/>
    <x v="3"/>
    <n v="1"/>
    <s v="Synthetic"/>
  </r>
  <r>
    <n v="311"/>
    <d v="2025-09-19T13:46:53"/>
    <x v="8"/>
    <x v="0"/>
    <x v="8"/>
    <s v="Nikhil Bansal"/>
    <s v="demo.student308.nikhilbansal@example.com"/>
    <n v="9000000308"/>
    <x v="2"/>
    <x v="4"/>
    <x v="0"/>
    <s v="CRS002"/>
    <x v="3"/>
    <x v="0"/>
    <x v="1"/>
    <x v="0"/>
    <x v="6"/>
    <x v="3"/>
    <n v="1"/>
    <s v="Synthetic"/>
  </r>
  <r>
    <n v="343"/>
    <d v="2025-09-23T12:21:28"/>
    <x v="8"/>
    <x v="0"/>
    <x v="8"/>
    <s v="Ayush Khatri"/>
    <s v="demo.student340.ayushkhatri@example.com"/>
    <n v="9000000340"/>
    <x v="6"/>
    <x v="1"/>
    <x v="1"/>
    <s v="CRS001"/>
    <x v="0"/>
    <x v="0"/>
    <x v="1"/>
    <x v="0"/>
    <x v="7"/>
    <x v="3"/>
    <n v="1"/>
    <s v="Synthetic"/>
  </r>
  <r>
    <n v="333"/>
    <d v="2025-09-24T13:48:52"/>
    <x v="8"/>
    <x v="0"/>
    <x v="8"/>
    <s v="Muskan Saini"/>
    <s v="demo.student330.muskansaini@example.com"/>
    <n v="9000000330"/>
    <x v="8"/>
    <x v="4"/>
    <x v="2"/>
    <s v="CRS006"/>
    <x v="11"/>
    <x v="3"/>
    <x v="1"/>
    <x v="2"/>
    <x v="0"/>
    <x v="3"/>
    <n v="1"/>
    <s v="Synthetic"/>
  </r>
  <r>
    <n v="100"/>
    <d v="2025-09-25T03:08:38"/>
    <x v="8"/>
    <x v="0"/>
    <x v="8"/>
    <s v="Gaurav Sharma"/>
    <s v="demo.student097.gauravsharma@example.com"/>
    <n v="9000000097"/>
    <x v="7"/>
    <x v="0"/>
    <x v="1"/>
    <s v="CRS013"/>
    <x v="12"/>
    <x v="6"/>
    <x v="1"/>
    <x v="3"/>
    <x v="3"/>
    <x v="0"/>
    <n v="0"/>
    <s v="Synthetic"/>
  </r>
  <r>
    <n v="156"/>
    <d v="2025-09-26T10:46:35"/>
    <x v="8"/>
    <x v="0"/>
    <x v="8"/>
    <s v="Riya Saini"/>
    <s v="demo.student153.riyasaini@example.com"/>
    <n v="9000000153"/>
    <x v="8"/>
    <x v="0"/>
    <x v="3"/>
    <s v="CRS014"/>
    <x v="8"/>
    <x v="7"/>
    <x v="1"/>
    <x v="3"/>
    <x v="0"/>
    <x v="3"/>
    <n v="1"/>
    <s v="Synthetic"/>
  </r>
  <r>
    <n v="140"/>
    <d v="2025-09-26T15:10:25"/>
    <x v="8"/>
    <x v="0"/>
    <x v="8"/>
    <s v="Nisha Chauhan"/>
    <s v="demo.student137.nishachauhan@example.com"/>
    <n v="9000000137"/>
    <x v="5"/>
    <x v="4"/>
    <x v="2"/>
    <s v="CRS012"/>
    <x v="10"/>
    <x v="9"/>
    <x v="1"/>
    <x v="3"/>
    <x v="0"/>
    <x v="2"/>
    <n v="0"/>
    <s v="Synthetic"/>
  </r>
  <r>
    <n v="337"/>
    <d v="2025-09-26T22:14:15"/>
    <x v="8"/>
    <x v="0"/>
    <x v="8"/>
    <s v="Saksham Bansal"/>
    <s v="demo.student334.sakshambansal@example.com"/>
    <n v="9000000334"/>
    <x v="5"/>
    <x v="4"/>
    <x v="2"/>
    <s v="CRS008"/>
    <x v="14"/>
    <x v="10"/>
    <x v="0"/>
    <x v="3"/>
    <x v="6"/>
    <x v="4"/>
    <n v="0"/>
    <s v="Synthetic"/>
  </r>
  <r>
    <n v="95"/>
    <d v="2025-09-29T17:49:37"/>
    <x v="8"/>
    <x v="0"/>
    <x v="8"/>
    <s v="Varun Dahiya"/>
    <s v="demo.student092.varundahiya@example.com"/>
    <n v="9000000092"/>
    <x v="6"/>
    <x v="0"/>
    <x v="0"/>
    <s v="CRS013"/>
    <x v="12"/>
    <x v="6"/>
    <x v="1"/>
    <x v="1"/>
    <x v="3"/>
    <x v="1"/>
    <n v="0"/>
    <s v="Synthetic"/>
  </r>
  <r>
    <n v="420"/>
    <d v="2025-10-01T01:48:03"/>
    <x v="9"/>
    <x v="0"/>
    <x v="9"/>
    <s v="Mohit Yadav"/>
    <s v="demo.student417.mohityadav@example.com"/>
    <n v="9000000417"/>
    <x v="3"/>
    <x v="3"/>
    <x v="4"/>
    <s v="CRS002"/>
    <x v="3"/>
    <x v="0"/>
    <x v="0"/>
    <x v="0"/>
    <x v="0"/>
    <x v="5"/>
    <n v="0"/>
    <s v="Synthetic"/>
  </r>
  <r>
    <n v="116"/>
    <d v="2025-10-02T09:58:03"/>
    <x v="9"/>
    <x v="0"/>
    <x v="9"/>
    <s v="Gaurav Gupta"/>
    <s v="demo.student113.gauravgupta@example.com"/>
    <n v="9000000113"/>
    <x v="4"/>
    <x v="0"/>
    <x v="1"/>
    <s v="CRS010"/>
    <x v="5"/>
    <x v="4"/>
    <x v="0"/>
    <x v="3"/>
    <x v="5"/>
    <x v="0"/>
    <n v="0"/>
    <s v="Synthetic"/>
  </r>
  <r>
    <n v="275"/>
    <d v="2025-10-06T00:01:55"/>
    <x v="9"/>
    <x v="0"/>
    <x v="9"/>
    <s v="Ananya Khatri"/>
    <s v="demo.student272.ananyakhatri@example.com"/>
    <n v="9000000272"/>
    <x v="3"/>
    <x v="5"/>
    <x v="3"/>
    <s v="CRS009"/>
    <x v="13"/>
    <x v="10"/>
    <x v="0"/>
    <x v="3"/>
    <x v="3"/>
    <x v="3"/>
    <n v="1"/>
    <s v="Synthetic"/>
  </r>
  <r>
    <n v="335"/>
    <d v="2025-10-06T21:46:05"/>
    <x v="9"/>
    <x v="0"/>
    <x v="9"/>
    <s v="Shivani Singh"/>
    <s v="demo.student332.shivanisingh@example.com"/>
    <n v="9000000332"/>
    <x v="3"/>
    <x v="2"/>
    <x v="1"/>
    <s v="CRS013"/>
    <x v="12"/>
    <x v="6"/>
    <x v="1"/>
    <x v="2"/>
    <x v="4"/>
    <x v="3"/>
    <n v="1"/>
    <s v="Synthetic"/>
  </r>
  <r>
    <n v="305"/>
    <d v="2025-10-08T06:52:42"/>
    <x v="9"/>
    <x v="0"/>
    <x v="9"/>
    <s v="Ananya Kumar"/>
    <s v="demo.student302.ananyakumar@example.com"/>
    <n v="9000000302"/>
    <x v="4"/>
    <x v="3"/>
    <x v="4"/>
    <s v="CRS001"/>
    <x v="0"/>
    <x v="0"/>
    <x v="1"/>
    <x v="2"/>
    <x v="6"/>
    <x v="1"/>
    <n v="0"/>
    <s v="Synthetic"/>
  </r>
  <r>
    <n v="47"/>
    <d v="2025-10-09T09:03:21"/>
    <x v="9"/>
    <x v="0"/>
    <x v="9"/>
    <s v="Simran Jain"/>
    <s v="demo.student044.simranjain@example.com"/>
    <n v="9000000044"/>
    <x v="3"/>
    <x v="2"/>
    <x v="4"/>
    <s v="CRS009"/>
    <x v="13"/>
    <x v="10"/>
    <x v="1"/>
    <x v="3"/>
    <x v="3"/>
    <x v="1"/>
    <n v="0"/>
    <s v="Synthetic"/>
  </r>
  <r>
    <n v="101"/>
    <d v="2025-10-11T00:32:58"/>
    <x v="9"/>
    <x v="0"/>
    <x v="9"/>
    <s v="Shivani Dahiya"/>
    <s v="demo.student098.shivanidahiya@example.com"/>
    <n v="9000000098"/>
    <x v="6"/>
    <x v="1"/>
    <x v="1"/>
    <s v="CRS003"/>
    <x v="6"/>
    <x v="5"/>
    <x v="1"/>
    <x v="2"/>
    <x v="7"/>
    <x v="3"/>
    <n v="1"/>
    <s v="Synthetic"/>
  </r>
  <r>
    <n v="107"/>
    <d v="2025-10-11T08:01:59"/>
    <x v="9"/>
    <x v="0"/>
    <x v="9"/>
    <s v="Isha Mehta"/>
    <s v="demo.student104.ishamehta@example.com"/>
    <n v="9000000104"/>
    <x v="4"/>
    <x v="1"/>
    <x v="1"/>
    <s v="CRS007"/>
    <x v="1"/>
    <x v="1"/>
    <x v="1"/>
    <x v="2"/>
    <x v="3"/>
    <x v="3"/>
    <n v="1"/>
    <s v="Synthetic"/>
  </r>
  <r>
    <n v="64"/>
    <d v="2025-10-11T18:30:22"/>
    <x v="9"/>
    <x v="0"/>
    <x v="9"/>
    <s v="Nikhil Khatri"/>
    <s v="demo.student061.nikhilkhatri@example.com"/>
    <n v="9000000061"/>
    <x v="8"/>
    <x v="2"/>
    <x v="1"/>
    <s v="CRS010"/>
    <x v="5"/>
    <x v="4"/>
    <x v="1"/>
    <x v="0"/>
    <x v="7"/>
    <x v="1"/>
    <n v="0"/>
    <s v="Synthetic"/>
  </r>
  <r>
    <n v="65"/>
    <d v="2025-10-12T13:04:43"/>
    <x v="9"/>
    <x v="0"/>
    <x v="9"/>
    <s v="Karan Singh"/>
    <s v="demo.student062.karansingh@example.com"/>
    <n v="9000000062"/>
    <x v="0"/>
    <x v="0"/>
    <x v="2"/>
    <s v="CRS015"/>
    <x v="9"/>
    <x v="8"/>
    <x v="1"/>
    <x v="1"/>
    <x v="0"/>
    <x v="3"/>
    <n v="1"/>
    <s v="Synthetic"/>
  </r>
  <r>
    <n v="415"/>
    <d v="2025-10-12T14:19:14"/>
    <x v="9"/>
    <x v="0"/>
    <x v="9"/>
    <s v="Muskan Malik"/>
    <s v="demo.student412.muskanmalik@example.com"/>
    <n v="9000000412"/>
    <x v="8"/>
    <x v="0"/>
    <x v="3"/>
    <s v="CRS006"/>
    <x v="11"/>
    <x v="3"/>
    <x v="0"/>
    <x v="2"/>
    <x v="7"/>
    <x v="3"/>
    <n v="1"/>
    <s v="Synthetic"/>
  </r>
  <r>
    <n v="254"/>
    <d v="2025-10-13T23:11:49"/>
    <x v="9"/>
    <x v="0"/>
    <x v="9"/>
    <s v="Ananya Malik"/>
    <s v="demo.student251.ananyamalik@example.com"/>
    <n v="9000000251"/>
    <x v="8"/>
    <x v="0"/>
    <x v="2"/>
    <s v="CRS003"/>
    <x v="6"/>
    <x v="5"/>
    <x v="0"/>
    <x v="3"/>
    <x v="3"/>
    <x v="2"/>
    <n v="0"/>
    <s v="Synthetic"/>
  </r>
  <r>
    <n v="495"/>
    <d v="2025-10-14T15:37:55"/>
    <x v="9"/>
    <x v="0"/>
    <x v="9"/>
    <s v="Akash Verma"/>
    <s v="demo.student492.akashverma@example.com"/>
    <n v="9000000492"/>
    <x v="5"/>
    <x v="1"/>
    <x v="2"/>
    <s v="CRS006"/>
    <x v="11"/>
    <x v="3"/>
    <x v="1"/>
    <x v="3"/>
    <x v="0"/>
    <x v="3"/>
    <n v="1"/>
    <s v="Synthetic"/>
  </r>
  <r>
    <n v="316"/>
    <d v="2025-10-17T01:39:45"/>
    <x v="9"/>
    <x v="0"/>
    <x v="9"/>
    <s v="Nikhil Jain"/>
    <s v="demo.student313.nikhiljain@example.com"/>
    <n v="9000000313"/>
    <x v="2"/>
    <x v="0"/>
    <x v="2"/>
    <s v="CRS006"/>
    <x v="11"/>
    <x v="3"/>
    <x v="1"/>
    <x v="3"/>
    <x v="5"/>
    <x v="1"/>
    <n v="0"/>
    <s v="Synthetic"/>
  </r>
  <r>
    <n v="112"/>
    <d v="2025-10-19T13:52:43"/>
    <x v="9"/>
    <x v="0"/>
    <x v="9"/>
    <s v="Rahul Kumar"/>
    <s v="demo.student109.rahulkumar@example.com"/>
    <n v="9000000109"/>
    <x v="4"/>
    <x v="2"/>
    <x v="1"/>
    <s v="CRS002"/>
    <x v="3"/>
    <x v="0"/>
    <x v="0"/>
    <x v="0"/>
    <x v="7"/>
    <x v="1"/>
    <n v="0"/>
    <s v="Synthetic"/>
  </r>
  <r>
    <n v="24"/>
    <d v="2025-10-19T21:13:43"/>
    <x v="9"/>
    <x v="0"/>
    <x v="9"/>
    <s v="Aditi Saini"/>
    <s v="demo.student021.aditisaini@example.com"/>
    <n v="9000000021"/>
    <x v="5"/>
    <x v="0"/>
    <x v="0"/>
    <s v="CRS011"/>
    <x v="7"/>
    <x v="6"/>
    <x v="1"/>
    <x v="3"/>
    <x v="6"/>
    <x v="3"/>
    <n v="1"/>
    <s v="Synthetic"/>
  </r>
  <r>
    <n v="260"/>
    <d v="2025-10-20T15:16:16"/>
    <x v="9"/>
    <x v="0"/>
    <x v="9"/>
    <s v="Aarav Yadav"/>
    <s v="demo.student257.aaravyadav@example.com"/>
    <n v="9000000257"/>
    <x v="2"/>
    <x v="3"/>
    <x v="4"/>
    <s v="CRS011"/>
    <x v="7"/>
    <x v="6"/>
    <x v="1"/>
    <x v="2"/>
    <x v="5"/>
    <x v="2"/>
    <n v="0"/>
    <s v="Synthetic"/>
  </r>
  <r>
    <n v="390"/>
    <d v="2025-10-22T03:22:14"/>
    <x v="9"/>
    <x v="0"/>
    <x v="9"/>
    <s v="Simran Panchal"/>
    <s v="demo.student387.simranpanchal@example.com"/>
    <n v="9000000387"/>
    <x v="5"/>
    <x v="4"/>
    <x v="1"/>
    <s v="CRS004"/>
    <x v="2"/>
    <x v="2"/>
    <x v="0"/>
    <x v="1"/>
    <x v="5"/>
    <x v="3"/>
    <n v="1"/>
    <s v="Synthetic"/>
  </r>
  <r>
    <n v="339"/>
    <d v="2025-10-22T11:18:58"/>
    <x v="9"/>
    <x v="0"/>
    <x v="9"/>
    <s v="Ananya Dahiya"/>
    <s v="demo.student336.ananyadahiya@example.com"/>
    <n v="9000000336"/>
    <x v="5"/>
    <x v="0"/>
    <x v="0"/>
    <s v="CRS011"/>
    <x v="7"/>
    <x v="6"/>
    <x v="1"/>
    <x v="2"/>
    <x v="0"/>
    <x v="2"/>
    <n v="0"/>
    <s v="Synthetic"/>
  </r>
  <r>
    <n v="286"/>
    <d v="2025-10-22T12:42:50"/>
    <x v="9"/>
    <x v="0"/>
    <x v="9"/>
    <s v="Isha Saini"/>
    <s v="demo.student283.ishasaini@example.com"/>
    <n v="9000000283"/>
    <x v="6"/>
    <x v="0"/>
    <x v="1"/>
    <s v="CRS015"/>
    <x v="9"/>
    <x v="8"/>
    <x v="0"/>
    <x v="2"/>
    <x v="7"/>
    <x v="3"/>
    <n v="1"/>
    <s v="Synthetic"/>
  </r>
  <r>
    <n v="207"/>
    <d v="2025-10-23T10:39:43"/>
    <x v="9"/>
    <x v="0"/>
    <x v="9"/>
    <s v="Aarav Jain"/>
    <s v="demo.student204.aaravjain@example.com"/>
    <n v="9000000204"/>
    <x v="6"/>
    <x v="2"/>
    <x v="0"/>
    <s v="CRS010"/>
    <x v="5"/>
    <x v="4"/>
    <x v="1"/>
    <x v="1"/>
    <x v="0"/>
    <x v="5"/>
    <n v="0"/>
    <s v="Synthetic"/>
  </r>
  <r>
    <n v="326"/>
    <d v="2025-10-23T17:26:38"/>
    <x v="9"/>
    <x v="0"/>
    <x v="9"/>
    <s v="Ananya Mehta"/>
    <s v="demo.student323.ananyamehta@example.com"/>
    <n v="9000000323"/>
    <x v="7"/>
    <x v="4"/>
    <x v="0"/>
    <s v="CRS008"/>
    <x v="14"/>
    <x v="10"/>
    <x v="1"/>
    <x v="1"/>
    <x v="3"/>
    <x v="3"/>
    <n v="1"/>
    <s v="Synthetic"/>
  </r>
  <r>
    <n v="483"/>
    <d v="2025-10-23T19:41:18"/>
    <x v="9"/>
    <x v="0"/>
    <x v="9"/>
    <s v="Rohit Khatri"/>
    <s v="demo.student480.rohitkhatri@example.com"/>
    <n v="9000000480"/>
    <x v="6"/>
    <x v="3"/>
    <x v="4"/>
    <s v="CRS012"/>
    <x v="10"/>
    <x v="9"/>
    <x v="1"/>
    <x v="3"/>
    <x v="5"/>
    <x v="0"/>
    <n v="0"/>
    <s v="Synthetic"/>
  </r>
  <r>
    <n v="393"/>
    <d v="2025-10-24T11:45:48"/>
    <x v="9"/>
    <x v="0"/>
    <x v="9"/>
    <s v="Manish Khatri"/>
    <s v="demo.student390.manishkhatri@example.com"/>
    <n v="9000000390"/>
    <x v="6"/>
    <x v="0"/>
    <x v="1"/>
    <s v="CRS013"/>
    <x v="12"/>
    <x v="6"/>
    <x v="1"/>
    <x v="2"/>
    <x v="3"/>
    <x v="5"/>
    <n v="0"/>
    <s v="Synthetic"/>
  </r>
  <r>
    <n v="437"/>
    <d v="2025-10-24T18:07:06"/>
    <x v="9"/>
    <x v="0"/>
    <x v="9"/>
    <s v="Karan Saini"/>
    <s v="demo.student434.karansaini@example.com"/>
    <n v="9000000434"/>
    <x v="1"/>
    <x v="4"/>
    <x v="2"/>
    <s v="CRS014"/>
    <x v="8"/>
    <x v="7"/>
    <x v="0"/>
    <x v="2"/>
    <x v="7"/>
    <x v="4"/>
    <n v="0"/>
    <s v="Synthetic"/>
  </r>
  <r>
    <n v="475"/>
    <d v="2025-10-25T05:51:25"/>
    <x v="9"/>
    <x v="0"/>
    <x v="9"/>
    <s v="Rohit Bansal"/>
    <s v="demo.student472.rohitbansal@example.com"/>
    <n v="9000000472"/>
    <x v="0"/>
    <x v="0"/>
    <x v="0"/>
    <s v="CRS012"/>
    <x v="10"/>
    <x v="9"/>
    <x v="1"/>
    <x v="2"/>
    <x v="3"/>
    <x v="3"/>
    <n v="1"/>
    <s v="Synthetic"/>
  </r>
  <r>
    <n v="122"/>
    <d v="2025-10-28T16:34:51"/>
    <x v="9"/>
    <x v="0"/>
    <x v="9"/>
    <s v="Saksham Saini"/>
    <s v="demo.student119.sakshamsaini@example.com"/>
    <n v="9000000119"/>
    <x v="6"/>
    <x v="1"/>
    <x v="1"/>
    <s v="CRS008"/>
    <x v="14"/>
    <x v="10"/>
    <x v="1"/>
    <x v="2"/>
    <x v="0"/>
    <x v="4"/>
    <n v="0"/>
    <s v="Synthetic"/>
  </r>
  <r>
    <n v="313"/>
    <d v="2025-10-29T22:58:08"/>
    <x v="9"/>
    <x v="0"/>
    <x v="9"/>
    <s v="Neha Gupta"/>
    <s v="demo.student310.nehagupta@example.com"/>
    <n v="9000000310"/>
    <x v="1"/>
    <x v="0"/>
    <x v="3"/>
    <s v="CRS007"/>
    <x v="1"/>
    <x v="1"/>
    <x v="0"/>
    <x v="0"/>
    <x v="7"/>
    <x v="2"/>
    <n v="0"/>
    <s v="Synthetic"/>
  </r>
  <r>
    <n v="274"/>
    <d v="2025-10-30T00:57:06"/>
    <x v="9"/>
    <x v="0"/>
    <x v="9"/>
    <s v="Prachi Saini"/>
    <s v="demo.student271.prachisaini@example.com"/>
    <n v="9000000271"/>
    <x v="2"/>
    <x v="4"/>
    <x v="1"/>
    <s v="CRS006"/>
    <x v="11"/>
    <x v="3"/>
    <x v="1"/>
    <x v="1"/>
    <x v="3"/>
    <x v="1"/>
    <n v="0"/>
    <s v="Synthetic"/>
  </r>
  <r>
    <n v="182"/>
    <d v="2025-10-30T01:39:21"/>
    <x v="9"/>
    <x v="0"/>
    <x v="9"/>
    <s v="Sahil Jain"/>
    <s v="demo.student179.sahiljain@example.com"/>
    <n v="9000000179"/>
    <x v="4"/>
    <x v="0"/>
    <x v="1"/>
    <s v="CRS003"/>
    <x v="6"/>
    <x v="5"/>
    <x v="1"/>
    <x v="3"/>
    <x v="4"/>
    <x v="3"/>
    <n v="1"/>
    <s v="Synthetic"/>
  </r>
  <r>
    <n v="262"/>
    <d v="2025-11-03T16:14:27"/>
    <x v="10"/>
    <x v="0"/>
    <x v="10"/>
    <s v="Ayush Dahiya"/>
    <s v="demo.student259.ayushdahiya@example.com"/>
    <n v="9000000259"/>
    <x v="7"/>
    <x v="4"/>
    <x v="0"/>
    <s v="CRS014"/>
    <x v="8"/>
    <x v="7"/>
    <x v="0"/>
    <x v="2"/>
    <x v="7"/>
    <x v="0"/>
    <n v="0"/>
    <s v="Synthetic"/>
  </r>
  <r>
    <n v="379"/>
    <d v="2025-11-05T13:36:41"/>
    <x v="10"/>
    <x v="0"/>
    <x v="10"/>
    <s v="Diya Malik"/>
    <s v="demo.student376.diyamalik@example.com"/>
    <n v="9000000376"/>
    <x v="6"/>
    <x v="0"/>
    <x v="1"/>
    <s v="CRS002"/>
    <x v="3"/>
    <x v="0"/>
    <x v="0"/>
    <x v="1"/>
    <x v="7"/>
    <x v="2"/>
    <n v="0"/>
    <s v="Synthetic"/>
  </r>
  <r>
    <n v="257"/>
    <d v="2025-11-08T18:46:51"/>
    <x v="10"/>
    <x v="0"/>
    <x v="10"/>
    <s v="Kajal Kumar"/>
    <s v="demo.student254.kajalkumar@example.com"/>
    <n v="9000000254"/>
    <x v="7"/>
    <x v="1"/>
    <x v="2"/>
    <s v="CRS001"/>
    <x v="0"/>
    <x v="0"/>
    <x v="1"/>
    <x v="0"/>
    <x v="0"/>
    <x v="5"/>
    <n v="0"/>
    <s v="Synthetic"/>
  </r>
  <r>
    <n v="320"/>
    <d v="2025-11-10T16:47:58"/>
    <x v="10"/>
    <x v="0"/>
    <x v="10"/>
    <s v="Diya Panchal"/>
    <s v="demo.student317.diyapanchal@example.com"/>
    <n v="9000000317"/>
    <x v="5"/>
    <x v="1"/>
    <x v="1"/>
    <s v="CRS007"/>
    <x v="1"/>
    <x v="1"/>
    <x v="1"/>
    <x v="3"/>
    <x v="3"/>
    <x v="3"/>
    <n v="1"/>
    <s v="Synthetic"/>
  </r>
  <r>
    <n v="404"/>
    <d v="2025-11-11T03:17:39"/>
    <x v="10"/>
    <x v="0"/>
    <x v="10"/>
    <s v="Manish Panchal"/>
    <s v="demo.student401.manishpanchal@example.com"/>
    <n v="9000000401"/>
    <x v="3"/>
    <x v="2"/>
    <x v="3"/>
    <s v="CRS008"/>
    <x v="14"/>
    <x v="10"/>
    <x v="0"/>
    <x v="2"/>
    <x v="5"/>
    <x v="4"/>
    <n v="0"/>
    <s v="Synthetic"/>
  </r>
  <r>
    <n v="267"/>
    <d v="2025-11-11T11:25:02"/>
    <x v="10"/>
    <x v="0"/>
    <x v="10"/>
    <s v="Mohit Chauhan"/>
    <s v="demo.student264.mohitchauhan@example.com"/>
    <n v="9000000264"/>
    <x v="9"/>
    <x v="0"/>
    <x v="3"/>
    <s v="CRS001"/>
    <x v="0"/>
    <x v="0"/>
    <x v="0"/>
    <x v="3"/>
    <x v="5"/>
    <x v="2"/>
    <n v="0"/>
    <s v="Synthetic"/>
  </r>
  <r>
    <n v="164"/>
    <d v="2025-11-12T07:53:18"/>
    <x v="10"/>
    <x v="0"/>
    <x v="10"/>
    <s v="Karan Singh"/>
    <s v="demo.student161.karansingh@example.com"/>
    <n v="9000000161"/>
    <x v="5"/>
    <x v="0"/>
    <x v="1"/>
    <s v="CRS011"/>
    <x v="7"/>
    <x v="6"/>
    <x v="1"/>
    <x v="2"/>
    <x v="7"/>
    <x v="1"/>
    <n v="0"/>
    <s v="Synthetic"/>
  </r>
  <r>
    <n v="303"/>
    <d v="2025-11-13T15:12:20"/>
    <x v="10"/>
    <x v="0"/>
    <x v="10"/>
    <s v="Karan Malik"/>
    <s v="demo.student300.karanmalik@example.com"/>
    <n v="9000000300"/>
    <x v="9"/>
    <x v="0"/>
    <x v="0"/>
    <s v="CRS014"/>
    <x v="8"/>
    <x v="7"/>
    <x v="1"/>
    <x v="3"/>
    <x v="5"/>
    <x v="4"/>
    <n v="0"/>
    <s v="Synthetic"/>
  </r>
  <r>
    <n v="203"/>
    <d v="2025-11-14T07:29:41"/>
    <x v="10"/>
    <x v="0"/>
    <x v="10"/>
    <s v="Saksham Malik"/>
    <s v="demo.student200.sakshammalik@example.com"/>
    <n v="9000000200"/>
    <x v="7"/>
    <x v="2"/>
    <x v="1"/>
    <s v="CRS009"/>
    <x v="13"/>
    <x v="10"/>
    <x v="1"/>
    <x v="3"/>
    <x v="6"/>
    <x v="3"/>
    <n v="1"/>
    <s v="Synthetic"/>
  </r>
  <r>
    <n v="192"/>
    <d v="2025-11-16T20:54:20"/>
    <x v="10"/>
    <x v="0"/>
    <x v="10"/>
    <s v="Sonam Sharma"/>
    <s v="demo.student189.sonamsharma@example.com"/>
    <n v="9000000189"/>
    <x v="1"/>
    <x v="3"/>
    <x v="4"/>
    <s v="CRS009"/>
    <x v="13"/>
    <x v="10"/>
    <x v="1"/>
    <x v="0"/>
    <x v="3"/>
    <x v="0"/>
    <n v="0"/>
    <s v="Synthetic"/>
  </r>
  <r>
    <n v="80"/>
    <d v="2025-11-18T19:02:38"/>
    <x v="10"/>
    <x v="0"/>
    <x v="10"/>
    <s v="Khushi Jain"/>
    <s v="demo.student077.khushijain@example.com"/>
    <n v="9000000077"/>
    <x v="6"/>
    <x v="1"/>
    <x v="1"/>
    <s v="CRS004"/>
    <x v="2"/>
    <x v="2"/>
    <x v="1"/>
    <x v="2"/>
    <x v="7"/>
    <x v="1"/>
    <n v="0"/>
    <s v="Synthetic"/>
  </r>
  <r>
    <n v="187"/>
    <d v="2025-11-18T21:13:03"/>
    <x v="10"/>
    <x v="0"/>
    <x v="10"/>
    <s v="Nisha Saini"/>
    <s v="demo.student184.nishasaini@example.com"/>
    <n v="9000000184"/>
    <x v="1"/>
    <x v="4"/>
    <x v="0"/>
    <s v="CRS006"/>
    <x v="11"/>
    <x v="3"/>
    <x v="0"/>
    <x v="1"/>
    <x v="3"/>
    <x v="5"/>
    <n v="0"/>
    <s v="Synthetic"/>
  </r>
  <r>
    <n v="17"/>
    <d v="2025-11-22T20:07:22"/>
    <x v="10"/>
    <x v="0"/>
    <x v="10"/>
    <s v="Nikhil Khatri"/>
    <s v="demo.student014.nikhilkhatri@example.com"/>
    <n v="9000000014"/>
    <x v="0"/>
    <x v="0"/>
    <x v="1"/>
    <s v="CRS015"/>
    <x v="9"/>
    <x v="8"/>
    <x v="0"/>
    <x v="2"/>
    <x v="3"/>
    <x v="2"/>
    <n v="0"/>
    <s v="Synthetic"/>
  </r>
  <r>
    <n v="26"/>
    <d v="2025-11-23T15:27:44"/>
    <x v="10"/>
    <x v="0"/>
    <x v="10"/>
    <s v="Anjali Dahiya"/>
    <s v="demo.student023.anjalidahiya@example.com"/>
    <n v="9000000023"/>
    <x v="9"/>
    <x v="4"/>
    <x v="1"/>
    <s v="CRS001"/>
    <x v="0"/>
    <x v="0"/>
    <x v="1"/>
    <x v="2"/>
    <x v="7"/>
    <x v="2"/>
    <n v="0"/>
    <s v="Synthetic"/>
  </r>
  <r>
    <n v="211"/>
    <d v="2025-11-26T00:40:36"/>
    <x v="10"/>
    <x v="0"/>
    <x v="10"/>
    <s v="Mehak Gupta"/>
    <s v="demo.student208.mehakgupta@example.com"/>
    <n v="9000000208"/>
    <x v="5"/>
    <x v="2"/>
    <x v="1"/>
    <s v="CRS012"/>
    <x v="10"/>
    <x v="9"/>
    <x v="1"/>
    <x v="2"/>
    <x v="2"/>
    <x v="4"/>
    <n v="0"/>
    <s v="Synthetic"/>
  </r>
  <r>
    <n v="431"/>
    <d v="2025-12-06T21:15:11"/>
    <x v="11"/>
    <x v="0"/>
    <x v="11"/>
    <s v="Rahul Kumar"/>
    <s v="demo.student428.rahulkumar@example.com"/>
    <n v="9000000428"/>
    <x v="5"/>
    <x v="4"/>
    <x v="1"/>
    <s v="CRS009"/>
    <x v="13"/>
    <x v="10"/>
    <x v="1"/>
    <x v="2"/>
    <x v="3"/>
    <x v="1"/>
    <n v="0"/>
    <s v="Synthetic"/>
  </r>
  <r>
    <n v="482"/>
    <d v="2025-12-08T13:52:10"/>
    <x v="11"/>
    <x v="0"/>
    <x v="11"/>
    <s v="Karan Khatri"/>
    <s v="demo.student479.karankhatri@example.com"/>
    <n v="9000000479"/>
    <x v="3"/>
    <x v="4"/>
    <x v="0"/>
    <s v="CRS003"/>
    <x v="6"/>
    <x v="5"/>
    <x v="1"/>
    <x v="2"/>
    <x v="4"/>
    <x v="0"/>
    <n v="0"/>
    <s v="Synthetic"/>
  </r>
  <r>
    <n v="237"/>
    <d v="2025-12-10T03:09:58"/>
    <x v="11"/>
    <x v="0"/>
    <x v="11"/>
    <s v="Aditi Verma"/>
    <s v="demo.student234.aditiverma@example.com"/>
    <n v="9000000234"/>
    <x v="9"/>
    <x v="2"/>
    <x v="3"/>
    <s v="CRS003"/>
    <x v="6"/>
    <x v="5"/>
    <x v="1"/>
    <x v="1"/>
    <x v="1"/>
    <x v="3"/>
    <n v="1"/>
    <s v="Synthetic"/>
  </r>
  <r>
    <n v="60"/>
    <d v="2025-12-10T11:26:23"/>
    <x v="11"/>
    <x v="0"/>
    <x v="11"/>
    <s v="Neha Bansal"/>
    <s v="demo.student057.nehabansal@example.com"/>
    <n v="9000000057"/>
    <x v="6"/>
    <x v="1"/>
    <x v="1"/>
    <s v="CRS002"/>
    <x v="3"/>
    <x v="0"/>
    <x v="1"/>
    <x v="2"/>
    <x v="7"/>
    <x v="2"/>
    <n v="0"/>
    <s v="Synthetic"/>
  </r>
  <r>
    <n v="426"/>
    <d v="2025-12-11T14:06:32"/>
    <x v="11"/>
    <x v="0"/>
    <x v="11"/>
    <s v="Nikhil Kumar"/>
    <s v="demo.student423.nikhilkumar@example.com"/>
    <n v="9000000423"/>
    <x v="8"/>
    <x v="2"/>
    <x v="0"/>
    <s v="CRS005"/>
    <x v="4"/>
    <x v="3"/>
    <x v="0"/>
    <x v="3"/>
    <x v="3"/>
    <x v="4"/>
    <n v="0"/>
    <s v="Synthetic"/>
  </r>
  <r>
    <n v="78"/>
    <d v="2025-12-11T21:36:04"/>
    <x v="11"/>
    <x v="0"/>
    <x v="11"/>
    <s v="Saksham Bansal"/>
    <s v="demo.student075.sakshambansal@example.com"/>
    <n v="9000000075"/>
    <x v="7"/>
    <x v="0"/>
    <x v="0"/>
    <s v="CRS012"/>
    <x v="10"/>
    <x v="9"/>
    <x v="1"/>
    <x v="1"/>
    <x v="3"/>
    <x v="3"/>
    <n v="1"/>
    <s v="Synthetic"/>
  </r>
  <r>
    <n v="423"/>
    <d v="2025-12-12T22:30:25"/>
    <x v="11"/>
    <x v="0"/>
    <x v="11"/>
    <s v="Muskan Panchal"/>
    <s v="demo.student420.muskanpanchal@example.com"/>
    <n v="9000000420"/>
    <x v="6"/>
    <x v="0"/>
    <x v="1"/>
    <s v="CRS005"/>
    <x v="4"/>
    <x v="3"/>
    <x v="1"/>
    <x v="2"/>
    <x v="3"/>
    <x v="3"/>
    <n v="1"/>
    <s v="Synthetic"/>
  </r>
  <r>
    <n v="13"/>
    <d v="2025-12-13T17:25:55"/>
    <x v="11"/>
    <x v="0"/>
    <x v="11"/>
    <s v="Tanya Jain"/>
    <s v="demo.student010.tanyajain@example.com"/>
    <n v="9000000010"/>
    <x v="8"/>
    <x v="1"/>
    <x v="2"/>
    <s v="CRS009"/>
    <x v="13"/>
    <x v="10"/>
    <x v="1"/>
    <x v="2"/>
    <x v="0"/>
    <x v="3"/>
    <n v="1"/>
    <s v="Synthetic"/>
  </r>
  <r>
    <n v="306"/>
    <d v="2025-12-13T20:58:14"/>
    <x v="11"/>
    <x v="0"/>
    <x v="11"/>
    <s v="Aditi Kumar"/>
    <s v="demo.student303.aditikumar@example.com"/>
    <n v="9000000303"/>
    <x v="8"/>
    <x v="0"/>
    <x v="0"/>
    <s v="CRS010"/>
    <x v="5"/>
    <x v="4"/>
    <x v="1"/>
    <x v="0"/>
    <x v="0"/>
    <x v="3"/>
    <n v="1"/>
    <s v="Synthetic"/>
  </r>
  <r>
    <n v="490"/>
    <d v="2025-12-13T23:51:23"/>
    <x v="11"/>
    <x v="0"/>
    <x v="11"/>
    <s v="Sahil Gupta"/>
    <s v="demo.student487.sahilgupta@example.com"/>
    <n v="9000000487"/>
    <x v="2"/>
    <x v="4"/>
    <x v="0"/>
    <s v="CRS013"/>
    <x v="12"/>
    <x v="6"/>
    <x v="1"/>
    <x v="1"/>
    <x v="1"/>
    <x v="2"/>
    <n v="0"/>
    <s v="Synthetic"/>
  </r>
  <r>
    <n v="476"/>
    <d v="2025-12-16T06:07:13"/>
    <x v="11"/>
    <x v="0"/>
    <x v="11"/>
    <s v="Saksham Gupta"/>
    <s v="demo.student473.sakshamgupta@example.com"/>
    <n v="9000000473"/>
    <x v="0"/>
    <x v="4"/>
    <x v="3"/>
    <s v="CRS006"/>
    <x v="11"/>
    <x v="3"/>
    <x v="0"/>
    <x v="1"/>
    <x v="4"/>
    <x v="3"/>
    <n v="1"/>
    <s v="Synthetic"/>
  </r>
  <r>
    <n v="200"/>
    <d v="2025-12-17T07:51:51"/>
    <x v="11"/>
    <x v="0"/>
    <x v="11"/>
    <s v="Nisha Sharma"/>
    <s v="demo.student197.nishasharma@example.com"/>
    <n v="9000000197"/>
    <x v="9"/>
    <x v="4"/>
    <x v="1"/>
    <s v="CRS013"/>
    <x v="12"/>
    <x v="6"/>
    <x v="1"/>
    <x v="2"/>
    <x v="3"/>
    <x v="4"/>
    <n v="0"/>
    <s v="Synthetic"/>
  </r>
  <r>
    <n v="98"/>
    <d v="2025-12-18T09:17:06"/>
    <x v="11"/>
    <x v="0"/>
    <x v="11"/>
    <s v="Prachi Dahiya"/>
    <s v="demo.student095.prachidahiya@example.com"/>
    <n v="9000000095"/>
    <x v="1"/>
    <x v="3"/>
    <x v="4"/>
    <s v="CRS008"/>
    <x v="14"/>
    <x v="10"/>
    <x v="1"/>
    <x v="3"/>
    <x v="6"/>
    <x v="1"/>
    <n v="0"/>
    <s v="Synthetic"/>
  </r>
  <r>
    <n v="130"/>
    <d v="2025-12-18T11:41:11"/>
    <x v="11"/>
    <x v="0"/>
    <x v="11"/>
    <s v="Karan Verma"/>
    <s v="demo.student127.karanverma@example.com"/>
    <n v="9000000127"/>
    <x v="8"/>
    <x v="0"/>
    <x v="0"/>
    <s v="CRS002"/>
    <x v="3"/>
    <x v="0"/>
    <x v="1"/>
    <x v="3"/>
    <x v="4"/>
    <x v="2"/>
    <n v="0"/>
    <s v="Synthetic"/>
  </r>
  <r>
    <n v="446"/>
    <d v="2025-12-20T01:38:44"/>
    <x v="11"/>
    <x v="0"/>
    <x v="11"/>
    <s v="Neha Chauhan"/>
    <s v="demo.student443.nehachauhan@example.com"/>
    <n v="9000000443"/>
    <x v="1"/>
    <x v="0"/>
    <x v="0"/>
    <s v="CRS006"/>
    <x v="11"/>
    <x v="3"/>
    <x v="1"/>
    <x v="1"/>
    <x v="4"/>
    <x v="3"/>
    <n v="1"/>
    <s v="Synthetic"/>
  </r>
  <r>
    <n v="20"/>
    <d v="2025-12-20T13:12:35"/>
    <x v="11"/>
    <x v="0"/>
    <x v="11"/>
    <s v="Ananya Gupta"/>
    <s v="demo.student017.ananyagupta@example.com"/>
    <n v="9000000017"/>
    <x v="6"/>
    <x v="2"/>
    <x v="0"/>
    <s v="CRS004"/>
    <x v="2"/>
    <x v="2"/>
    <x v="1"/>
    <x v="0"/>
    <x v="7"/>
    <x v="3"/>
    <n v="1"/>
    <s v="Synthetic"/>
  </r>
  <r>
    <n v="143"/>
    <d v="2025-12-22T12:23:48"/>
    <x v="11"/>
    <x v="0"/>
    <x v="11"/>
    <s v="Aditi Verma"/>
    <s v="demo.student140.aditiverma@example.com"/>
    <n v="9000000140"/>
    <x v="4"/>
    <x v="4"/>
    <x v="3"/>
    <s v="CRS009"/>
    <x v="13"/>
    <x v="10"/>
    <x v="1"/>
    <x v="3"/>
    <x v="3"/>
    <x v="5"/>
    <n v="0"/>
    <s v="Synthetic"/>
  </r>
  <r>
    <n v="318"/>
    <d v="2025-12-22T18:44:59"/>
    <x v="11"/>
    <x v="0"/>
    <x v="11"/>
    <s v="Diya Kumar"/>
    <s v="demo.student315.diyakumar@example.com"/>
    <n v="9000000315"/>
    <x v="8"/>
    <x v="2"/>
    <x v="0"/>
    <s v="CRS010"/>
    <x v="5"/>
    <x v="4"/>
    <x v="0"/>
    <x v="3"/>
    <x v="5"/>
    <x v="5"/>
    <n v="0"/>
    <s v="Synthetic"/>
  </r>
  <r>
    <n v="472"/>
    <d v="2025-12-23T02:28:57"/>
    <x v="11"/>
    <x v="0"/>
    <x v="11"/>
    <s v="Yash Verma"/>
    <s v="demo.student469.yashverma@example.com"/>
    <n v="9000000469"/>
    <x v="0"/>
    <x v="0"/>
    <x v="0"/>
    <s v="CRS009"/>
    <x v="13"/>
    <x v="10"/>
    <x v="0"/>
    <x v="3"/>
    <x v="3"/>
    <x v="2"/>
    <n v="0"/>
    <s v="Synthetic"/>
  </r>
  <r>
    <n v="406"/>
    <d v="2025-12-23T18:33:16"/>
    <x v="11"/>
    <x v="0"/>
    <x v="11"/>
    <s v="Mehak Khatri"/>
    <s v="demo.student403.mehakkhatri@example.com"/>
    <n v="9000000403"/>
    <x v="9"/>
    <x v="0"/>
    <x v="0"/>
    <s v="CRS013"/>
    <x v="12"/>
    <x v="6"/>
    <x v="1"/>
    <x v="2"/>
    <x v="3"/>
    <x v="3"/>
    <n v="1"/>
    <s v="Synthetic"/>
  </r>
  <r>
    <n v="93"/>
    <d v="2025-12-24T17:49:40"/>
    <x v="11"/>
    <x v="0"/>
    <x v="11"/>
    <s v="Aditi Yadav"/>
    <s v="demo.student090.aditiyadav@example.com"/>
    <n v="9000000090"/>
    <x v="6"/>
    <x v="2"/>
    <x v="0"/>
    <s v="CRS010"/>
    <x v="5"/>
    <x v="4"/>
    <x v="0"/>
    <x v="1"/>
    <x v="0"/>
    <x v="4"/>
    <n v="0"/>
    <s v="Synthetic"/>
  </r>
  <r>
    <n v="438"/>
    <d v="2025-12-25T07:34:48"/>
    <x v="11"/>
    <x v="0"/>
    <x v="11"/>
    <s v="Mehak Mehta"/>
    <s v="demo.student435.mehakmehta@example.com"/>
    <n v="9000000435"/>
    <x v="7"/>
    <x v="0"/>
    <x v="3"/>
    <s v="CRS004"/>
    <x v="2"/>
    <x v="2"/>
    <x v="0"/>
    <x v="2"/>
    <x v="0"/>
    <x v="1"/>
    <n v="0"/>
    <s v="Synthetic"/>
  </r>
  <r>
    <n v="372"/>
    <d v="2025-12-25T15:36:23"/>
    <x v="11"/>
    <x v="0"/>
    <x v="11"/>
    <s v="Ananya Chauhan"/>
    <s v="demo.student369.ananyachauhan@example.com"/>
    <n v="9000000369"/>
    <x v="0"/>
    <x v="4"/>
    <x v="2"/>
    <s v="CRS009"/>
    <x v="13"/>
    <x v="10"/>
    <x v="0"/>
    <x v="0"/>
    <x v="3"/>
    <x v="3"/>
    <n v="1"/>
    <s v="Synthetic"/>
  </r>
  <r>
    <n v="171"/>
    <d v="2025-12-26T12:21:22"/>
    <x v="11"/>
    <x v="0"/>
    <x v="11"/>
    <s v="Sahil Malik"/>
    <s v="demo.student168.sahilmalik@example.com"/>
    <n v="9000000168"/>
    <x v="2"/>
    <x v="0"/>
    <x v="1"/>
    <s v="CRS009"/>
    <x v="13"/>
    <x v="10"/>
    <x v="1"/>
    <x v="0"/>
    <x v="4"/>
    <x v="1"/>
    <n v="0"/>
    <s v="Synthetic"/>
  </r>
  <r>
    <n v="134"/>
    <d v="2025-12-29T04:45:36"/>
    <x v="11"/>
    <x v="0"/>
    <x v="11"/>
    <s v="Diya Yadav"/>
    <s v="demo.student131.diyayadav@example.com"/>
    <n v="9000000131"/>
    <x v="0"/>
    <x v="0"/>
    <x v="1"/>
    <s v="CRS008"/>
    <x v="14"/>
    <x v="10"/>
    <x v="0"/>
    <x v="1"/>
    <x v="0"/>
    <x v="3"/>
    <n v="1"/>
    <s v="Synthetic"/>
  </r>
  <r>
    <n v="168"/>
    <d v="2026-01-02T01:52:17"/>
    <x v="12"/>
    <x v="1"/>
    <x v="0"/>
    <s v="Rahul Jain"/>
    <s v="demo.student165.rahuljain@example.com"/>
    <n v="9000000165"/>
    <x v="0"/>
    <x v="1"/>
    <x v="2"/>
    <s v="CRS015"/>
    <x v="9"/>
    <x v="8"/>
    <x v="0"/>
    <x v="1"/>
    <x v="7"/>
    <x v="3"/>
    <n v="1"/>
    <s v="Synthetic"/>
  </r>
  <r>
    <n v="247"/>
    <d v="2026-01-02T05:20:56"/>
    <x v="12"/>
    <x v="1"/>
    <x v="0"/>
    <s v="Rahul Dahiya"/>
    <s v="demo.student244.rahuldahiya@example.com"/>
    <n v="9000000244"/>
    <x v="7"/>
    <x v="2"/>
    <x v="1"/>
    <s v="CRS013"/>
    <x v="12"/>
    <x v="6"/>
    <x v="1"/>
    <x v="3"/>
    <x v="0"/>
    <x v="1"/>
    <n v="0"/>
    <s v="Synthetic"/>
  </r>
  <r>
    <n v="480"/>
    <d v="2026-01-06T13:30:33"/>
    <x v="12"/>
    <x v="1"/>
    <x v="0"/>
    <s v="Aditi Yadav"/>
    <s v="demo.student477.aditiyadav@example.com"/>
    <n v="9000000477"/>
    <x v="8"/>
    <x v="3"/>
    <x v="4"/>
    <s v="CRS013"/>
    <x v="12"/>
    <x v="6"/>
    <x v="1"/>
    <x v="0"/>
    <x v="3"/>
    <x v="3"/>
    <n v="1"/>
    <s v="Synthetic"/>
  </r>
  <r>
    <n v="430"/>
    <d v="2026-01-06T22:10:29"/>
    <x v="12"/>
    <x v="1"/>
    <x v="0"/>
    <s v="Aarav Mehta"/>
    <s v="demo.student427.aaravmehta@example.com"/>
    <n v="9000000427"/>
    <x v="2"/>
    <x v="2"/>
    <x v="3"/>
    <s v="CRS013"/>
    <x v="12"/>
    <x v="6"/>
    <x v="1"/>
    <x v="0"/>
    <x v="6"/>
    <x v="2"/>
    <n v="0"/>
    <s v="Synthetic"/>
  </r>
  <r>
    <n v="36"/>
    <d v="2026-01-07T10:31:03"/>
    <x v="12"/>
    <x v="1"/>
    <x v="0"/>
    <s v="Pooja Singh"/>
    <s v="demo.student033.poojasingh@example.com"/>
    <n v="9000000033"/>
    <x v="7"/>
    <x v="1"/>
    <x v="3"/>
    <s v="CRS005"/>
    <x v="4"/>
    <x v="3"/>
    <x v="1"/>
    <x v="2"/>
    <x v="3"/>
    <x v="2"/>
    <n v="0"/>
    <s v="Synthetic"/>
  </r>
  <r>
    <n v="272"/>
    <d v="2026-01-08T10:47:01"/>
    <x v="12"/>
    <x v="1"/>
    <x v="0"/>
    <s v="Neha Malik"/>
    <s v="demo.student269.nehamalik@example.com"/>
    <n v="9000000269"/>
    <x v="1"/>
    <x v="2"/>
    <x v="1"/>
    <s v="CRS009"/>
    <x v="13"/>
    <x v="10"/>
    <x v="1"/>
    <x v="1"/>
    <x v="0"/>
    <x v="3"/>
    <n v="1"/>
    <s v="Synthetic"/>
  </r>
  <r>
    <n v="411"/>
    <d v="2026-01-10T23:34:33"/>
    <x v="12"/>
    <x v="1"/>
    <x v="0"/>
    <s v="Aarav Khatri"/>
    <s v="demo.student408.aaravkhatri@example.com"/>
    <n v="9000000408"/>
    <x v="6"/>
    <x v="0"/>
    <x v="2"/>
    <s v="CRS001"/>
    <x v="0"/>
    <x v="0"/>
    <x v="1"/>
    <x v="0"/>
    <x v="5"/>
    <x v="1"/>
    <n v="0"/>
    <s v="Synthetic"/>
  </r>
  <r>
    <n v="50"/>
    <d v="2026-01-11T03:26:38"/>
    <x v="12"/>
    <x v="1"/>
    <x v="0"/>
    <s v="Tanya Mehta"/>
    <s v="demo.student047.tanyamehta@example.com"/>
    <n v="9000000047"/>
    <x v="9"/>
    <x v="2"/>
    <x v="0"/>
    <s v="CRS014"/>
    <x v="8"/>
    <x v="7"/>
    <x v="0"/>
    <x v="2"/>
    <x v="3"/>
    <x v="1"/>
    <n v="0"/>
    <s v="Synthetic"/>
  </r>
  <r>
    <n v="215"/>
    <d v="2026-01-11T08:30:19"/>
    <x v="12"/>
    <x v="1"/>
    <x v="0"/>
    <s v="Tanya Singh"/>
    <s v="demo.student212.tanyasingh@example.com"/>
    <n v="9000000212"/>
    <x v="7"/>
    <x v="2"/>
    <x v="0"/>
    <s v="CRS001"/>
    <x v="0"/>
    <x v="0"/>
    <x v="0"/>
    <x v="3"/>
    <x v="4"/>
    <x v="3"/>
    <n v="1"/>
    <s v="Synthetic"/>
  </r>
  <r>
    <n v="61"/>
    <d v="2026-01-11T16:39:04"/>
    <x v="12"/>
    <x v="1"/>
    <x v="0"/>
    <s v="Nikhil Kumar"/>
    <s v="demo.student058.nikhilkumar@example.com"/>
    <n v="9000000058"/>
    <x v="7"/>
    <x v="4"/>
    <x v="3"/>
    <s v="CRS014"/>
    <x v="8"/>
    <x v="7"/>
    <x v="1"/>
    <x v="0"/>
    <x v="1"/>
    <x v="1"/>
    <n v="0"/>
    <s v="Synthetic"/>
  </r>
  <r>
    <n v="397"/>
    <d v="2026-01-12T02:56:34"/>
    <x v="12"/>
    <x v="1"/>
    <x v="0"/>
    <s v="Sneha Singh"/>
    <s v="demo.student394.snehasingh@example.com"/>
    <n v="9000000394"/>
    <x v="2"/>
    <x v="0"/>
    <x v="0"/>
    <s v="CRS009"/>
    <x v="13"/>
    <x v="10"/>
    <x v="1"/>
    <x v="2"/>
    <x v="7"/>
    <x v="3"/>
    <n v="1"/>
    <s v="Synthetic"/>
  </r>
  <r>
    <n v="52"/>
    <d v="2026-01-12T13:46:40"/>
    <x v="12"/>
    <x v="1"/>
    <x v="0"/>
    <s v="Sonam Chauhan"/>
    <s v="demo.student049.sonamchauhan@example.com"/>
    <n v="9000000049"/>
    <x v="6"/>
    <x v="2"/>
    <x v="0"/>
    <s v="CRS009"/>
    <x v="13"/>
    <x v="10"/>
    <x v="1"/>
    <x v="2"/>
    <x v="4"/>
    <x v="1"/>
    <n v="0"/>
    <s v="Synthetic"/>
  </r>
  <r>
    <n v="225"/>
    <d v="2026-01-12T18:45:54"/>
    <x v="12"/>
    <x v="1"/>
    <x v="0"/>
    <s v="Ananya Chauhan"/>
    <s v="demo.student222.ananyachauhan@example.com"/>
    <n v="9000000222"/>
    <x v="8"/>
    <x v="2"/>
    <x v="0"/>
    <s v="CRS001"/>
    <x v="0"/>
    <x v="0"/>
    <x v="1"/>
    <x v="2"/>
    <x v="0"/>
    <x v="3"/>
    <n v="1"/>
    <s v="Synthetic"/>
  </r>
  <r>
    <n v="88"/>
    <d v="2026-01-13T14:23:25"/>
    <x v="12"/>
    <x v="1"/>
    <x v="0"/>
    <s v="Arjun Gupta"/>
    <s v="demo.student085.arjungupta@example.com"/>
    <n v="9000000085"/>
    <x v="3"/>
    <x v="0"/>
    <x v="1"/>
    <s v="CRS007"/>
    <x v="1"/>
    <x v="1"/>
    <x v="1"/>
    <x v="1"/>
    <x v="7"/>
    <x v="3"/>
    <n v="1"/>
    <s v="Synthetic"/>
  </r>
  <r>
    <n v="105"/>
    <d v="2026-01-14T01:44:49"/>
    <x v="12"/>
    <x v="1"/>
    <x v="0"/>
    <s v="Kajal Kumar"/>
    <s v="demo.student102.kajalkumar@example.com"/>
    <n v="9000000102"/>
    <x v="4"/>
    <x v="2"/>
    <x v="0"/>
    <s v="CRS013"/>
    <x v="12"/>
    <x v="6"/>
    <x v="1"/>
    <x v="1"/>
    <x v="3"/>
    <x v="3"/>
    <n v="1"/>
    <s v="Synthetic"/>
  </r>
  <r>
    <n v="418"/>
    <d v="2026-01-14T08:15:28"/>
    <x v="12"/>
    <x v="1"/>
    <x v="0"/>
    <s v="Varun Dahiya"/>
    <s v="demo.student415.varundahiya@example.com"/>
    <n v="9000000415"/>
    <x v="2"/>
    <x v="0"/>
    <x v="2"/>
    <s v="CRS013"/>
    <x v="12"/>
    <x v="6"/>
    <x v="1"/>
    <x v="2"/>
    <x v="3"/>
    <x v="3"/>
    <n v="1"/>
    <s v="Synthetic"/>
  </r>
  <r>
    <n v="149"/>
    <d v="2026-01-16T20:24:12"/>
    <x v="12"/>
    <x v="1"/>
    <x v="0"/>
    <s v="Pooja Dahiya"/>
    <s v="demo.student146.poojadahiya@example.com"/>
    <n v="9000000146"/>
    <x v="3"/>
    <x v="0"/>
    <x v="2"/>
    <s v="CRS009"/>
    <x v="13"/>
    <x v="10"/>
    <x v="0"/>
    <x v="0"/>
    <x v="0"/>
    <x v="1"/>
    <n v="0"/>
    <s v="Synthetic"/>
  </r>
  <r>
    <n v="290"/>
    <d v="2026-01-17T16:56:21"/>
    <x v="12"/>
    <x v="1"/>
    <x v="0"/>
    <s v="Ananya Jain"/>
    <s v="demo.student287.ananyajain@example.com"/>
    <n v="9000000287"/>
    <x v="8"/>
    <x v="2"/>
    <x v="1"/>
    <s v="CRS014"/>
    <x v="8"/>
    <x v="7"/>
    <x v="0"/>
    <x v="2"/>
    <x v="3"/>
    <x v="3"/>
    <n v="1"/>
    <s v="Synthetic"/>
  </r>
  <r>
    <n v="450"/>
    <d v="2026-01-18T01:27:44"/>
    <x v="12"/>
    <x v="1"/>
    <x v="0"/>
    <s v="Aarav Saini"/>
    <s v="demo.student447.aaravsaini@example.com"/>
    <n v="9000000447"/>
    <x v="7"/>
    <x v="0"/>
    <x v="3"/>
    <s v="CRS011"/>
    <x v="7"/>
    <x v="6"/>
    <x v="1"/>
    <x v="0"/>
    <x v="2"/>
    <x v="4"/>
    <n v="0"/>
    <s v="Synthetic"/>
  </r>
  <r>
    <n v="278"/>
    <d v="2026-01-18T16:46:16"/>
    <x v="12"/>
    <x v="1"/>
    <x v="0"/>
    <s v="Karan Chauhan"/>
    <s v="demo.student275.karanchauhan@example.com"/>
    <n v="9000000275"/>
    <x v="0"/>
    <x v="0"/>
    <x v="3"/>
    <s v="CRS015"/>
    <x v="9"/>
    <x v="8"/>
    <x v="1"/>
    <x v="3"/>
    <x v="3"/>
    <x v="0"/>
    <n v="0"/>
    <s v="Synthetic"/>
  </r>
  <r>
    <n v="435"/>
    <d v="2026-01-19T17:59:23"/>
    <x v="12"/>
    <x v="1"/>
    <x v="0"/>
    <s v="Aarav Kumar"/>
    <s v="demo.student432.aaravkumar@example.com"/>
    <n v="9000000432"/>
    <x v="4"/>
    <x v="2"/>
    <x v="0"/>
    <s v="CRS001"/>
    <x v="0"/>
    <x v="0"/>
    <x v="1"/>
    <x v="2"/>
    <x v="1"/>
    <x v="1"/>
    <n v="0"/>
    <s v="Synthetic"/>
  </r>
  <r>
    <n v="132"/>
    <d v="2026-01-20T02:14:11"/>
    <x v="12"/>
    <x v="1"/>
    <x v="0"/>
    <s v="Karan Khatri"/>
    <s v="demo.student129.karankhatri@example.com"/>
    <n v="9000000129"/>
    <x v="1"/>
    <x v="2"/>
    <x v="0"/>
    <s v="CRS013"/>
    <x v="12"/>
    <x v="6"/>
    <x v="1"/>
    <x v="2"/>
    <x v="7"/>
    <x v="1"/>
    <n v="0"/>
    <s v="Synthetic"/>
  </r>
  <r>
    <n v="491"/>
    <d v="2026-01-23T16:21:54"/>
    <x v="12"/>
    <x v="1"/>
    <x v="0"/>
    <s v="Mohit Sharma"/>
    <s v="demo.student488.mohitsharma@example.com"/>
    <n v="9000000488"/>
    <x v="0"/>
    <x v="1"/>
    <x v="1"/>
    <s v="CRS014"/>
    <x v="8"/>
    <x v="7"/>
    <x v="1"/>
    <x v="1"/>
    <x v="3"/>
    <x v="3"/>
    <n v="1"/>
    <s v="Synthetic"/>
  </r>
  <r>
    <n v="117"/>
    <d v="2026-01-30T15:46:15"/>
    <x v="12"/>
    <x v="1"/>
    <x v="0"/>
    <s v="Anjali Dahiya"/>
    <s v="demo.student114.anjalidahiya@example.com"/>
    <n v="9000000114"/>
    <x v="0"/>
    <x v="2"/>
    <x v="1"/>
    <s v="CRS013"/>
    <x v="12"/>
    <x v="6"/>
    <x v="1"/>
    <x v="3"/>
    <x v="6"/>
    <x v="0"/>
    <n v="0"/>
    <s v="Synthetic"/>
  </r>
  <r>
    <n v="147"/>
    <d v="2026-01-31T19:43:53"/>
    <x v="12"/>
    <x v="1"/>
    <x v="0"/>
    <s v="Rahul Khatri"/>
    <s v="demo.student144.rahulkhatri@example.com"/>
    <n v="9000000144"/>
    <x v="5"/>
    <x v="4"/>
    <x v="0"/>
    <s v="CRS010"/>
    <x v="5"/>
    <x v="4"/>
    <x v="0"/>
    <x v="3"/>
    <x v="3"/>
    <x v="1"/>
    <n v="0"/>
    <s v="Synthetic"/>
  </r>
  <r>
    <n v="223"/>
    <d v="2026-02-02T03:27:56"/>
    <x v="13"/>
    <x v="1"/>
    <x v="1"/>
    <s v="Deepak Singh"/>
    <s v="demo.student220.deepaksingh@example.com"/>
    <n v="9000000220"/>
    <x v="5"/>
    <x v="2"/>
    <x v="0"/>
    <s v="CRS003"/>
    <x v="6"/>
    <x v="5"/>
    <x v="0"/>
    <x v="2"/>
    <x v="0"/>
    <x v="4"/>
    <n v="0"/>
    <s v="Synthetic"/>
  </r>
  <r>
    <n v="371"/>
    <d v="2026-02-03T11:40:29"/>
    <x v="13"/>
    <x v="1"/>
    <x v="1"/>
    <s v="Khushi Jain"/>
    <s v="demo.student368.khushijain@example.com"/>
    <n v="9000000368"/>
    <x v="8"/>
    <x v="4"/>
    <x v="3"/>
    <s v="CRS014"/>
    <x v="8"/>
    <x v="7"/>
    <x v="0"/>
    <x v="0"/>
    <x v="3"/>
    <x v="2"/>
    <n v="0"/>
    <s v="Synthetic"/>
  </r>
  <r>
    <n v="357"/>
    <d v="2026-02-04T11:47:58"/>
    <x v="13"/>
    <x v="1"/>
    <x v="1"/>
    <s v="Anjali Singh"/>
    <s v="demo.student354.anjalisingh@example.com"/>
    <n v="9000000354"/>
    <x v="7"/>
    <x v="0"/>
    <x v="3"/>
    <s v="CRS012"/>
    <x v="10"/>
    <x v="9"/>
    <x v="1"/>
    <x v="0"/>
    <x v="2"/>
    <x v="0"/>
    <n v="0"/>
    <s v="Synthetic"/>
  </r>
  <r>
    <n v="232"/>
    <d v="2026-02-04T22:23:25"/>
    <x v="13"/>
    <x v="1"/>
    <x v="1"/>
    <s v="Neha Panchal"/>
    <s v="demo.student229.nehapanchal@example.com"/>
    <n v="9000000229"/>
    <x v="7"/>
    <x v="2"/>
    <x v="0"/>
    <s v="CRS014"/>
    <x v="8"/>
    <x v="7"/>
    <x v="1"/>
    <x v="3"/>
    <x v="1"/>
    <x v="1"/>
    <n v="0"/>
    <s v="Synthetic"/>
  </r>
  <r>
    <n v="148"/>
    <d v="2026-02-05T18:43:24"/>
    <x v="13"/>
    <x v="1"/>
    <x v="1"/>
    <s v="Sneha Dahiya"/>
    <s v="demo.student145.snehadahiya@example.com"/>
    <n v="9000000145"/>
    <x v="8"/>
    <x v="0"/>
    <x v="1"/>
    <s v="CRS010"/>
    <x v="5"/>
    <x v="4"/>
    <x v="1"/>
    <x v="1"/>
    <x v="0"/>
    <x v="1"/>
    <n v="0"/>
    <s v="Synthetic"/>
  </r>
  <r>
    <n v="5"/>
    <d v="2026-02-09T05:01:03"/>
    <x v="13"/>
    <x v="1"/>
    <x v="1"/>
    <s v="Mohit Sharma"/>
    <s v="demo.student002.mohitsharma@example.com"/>
    <n v="9000000002"/>
    <x v="0"/>
    <x v="1"/>
    <x v="2"/>
    <s v="CRS001"/>
    <x v="0"/>
    <x v="0"/>
    <x v="0"/>
    <x v="0"/>
    <x v="0"/>
    <x v="3"/>
    <n v="1"/>
    <s v="Synthetic"/>
  </r>
  <r>
    <n v="327"/>
    <d v="2026-02-09T12:16:01"/>
    <x v="13"/>
    <x v="1"/>
    <x v="1"/>
    <s v="Nikhil Jain"/>
    <s v="demo.student324.nikhiljain@example.com"/>
    <n v="9000000324"/>
    <x v="2"/>
    <x v="0"/>
    <x v="1"/>
    <s v="CRS011"/>
    <x v="7"/>
    <x v="6"/>
    <x v="1"/>
    <x v="2"/>
    <x v="4"/>
    <x v="4"/>
    <n v="0"/>
    <s v="Synthetic"/>
  </r>
  <r>
    <n v="179"/>
    <d v="2026-02-10T05:49:26"/>
    <x v="13"/>
    <x v="1"/>
    <x v="1"/>
    <s v="Mehak Gupta"/>
    <s v="demo.student176.mehakgupta@example.com"/>
    <n v="9000000176"/>
    <x v="4"/>
    <x v="0"/>
    <x v="2"/>
    <s v="CRS011"/>
    <x v="7"/>
    <x v="6"/>
    <x v="1"/>
    <x v="3"/>
    <x v="2"/>
    <x v="0"/>
    <n v="0"/>
    <s v="Synthetic"/>
  </r>
  <r>
    <n v="448"/>
    <d v="2026-02-11T18:09:53"/>
    <x v="13"/>
    <x v="1"/>
    <x v="1"/>
    <s v="Sahil Bansal"/>
    <s v="demo.student445.sahilbansal@example.com"/>
    <n v="9000000445"/>
    <x v="7"/>
    <x v="2"/>
    <x v="0"/>
    <s v="CRS002"/>
    <x v="3"/>
    <x v="0"/>
    <x v="0"/>
    <x v="1"/>
    <x v="4"/>
    <x v="3"/>
    <n v="1"/>
    <s v="Synthetic"/>
  </r>
  <r>
    <n v="106"/>
    <d v="2026-02-14T08:15:39"/>
    <x v="13"/>
    <x v="1"/>
    <x v="1"/>
    <s v="Tanya Khatri"/>
    <s v="demo.student103.tanyakhatri@example.com"/>
    <n v="9000000103"/>
    <x v="1"/>
    <x v="0"/>
    <x v="1"/>
    <s v="CRS012"/>
    <x v="10"/>
    <x v="9"/>
    <x v="1"/>
    <x v="2"/>
    <x v="3"/>
    <x v="2"/>
    <n v="0"/>
    <s v="Synthetic"/>
  </r>
  <r>
    <n v="496"/>
    <d v="2026-02-14T17:58:30"/>
    <x v="13"/>
    <x v="1"/>
    <x v="1"/>
    <s v="Deepak Mehta"/>
    <s v="demo.student493.deepakmehta@example.com"/>
    <n v="9000000493"/>
    <x v="5"/>
    <x v="0"/>
    <x v="2"/>
    <s v="CRS006"/>
    <x v="11"/>
    <x v="3"/>
    <x v="0"/>
    <x v="3"/>
    <x v="3"/>
    <x v="0"/>
    <n v="0"/>
    <s v="Synthetic"/>
  </r>
  <r>
    <n v="221"/>
    <d v="2026-02-15T06:19:15"/>
    <x v="13"/>
    <x v="1"/>
    <x v="1"/>
    <s v="Deepak Gupta"/>
    <s v="demo.student218.deepakgupta@example.com"/>
    <n v="9000000218"/>
    <x v="6"/>
    <x v="0"/>
    <x v="1"/>
    <s v="CRS008"/>
    <x v="14"/>
    <x v="10"/>
    <x v="1"/>
    <x v="3"/>
    <x v="0"/>
    <x v="3"/>
    <n v="1"/>
    <s v="Synthetic"/>
  </r>
  <r>
    <n v="196"/>
    <d v="2026-02-15T14:36:02"/>
    <x v="13"/>
    <x v="1"/>
    <x v="1"/>
    <s v="Pooja Panchal"/>
    <s v="demo.student193.poojapanchal@example.com"/>
    <n v="9000000193"/>
    <x v="1"/>
    <x v="4"/>
    <x v="3"/>
    <s v="CRS002"/>
    <x v="3"/>
    <x v="0"/>
    <x v="1"/>
    <x v="0"/>
    <x v="3"/>
    <x v="3"/>
    <n v="1"/>
    <s v="Synthetic"/>
  </r>
  <r>
    <n v="246"/>
    <d v="2026-02-15T16:58:26"/>
    <x v="13"/>
    <x v="1"/>
    <x v="1"/>
    <s v="Mehak Malik"/>
    <s v="demo.student243.mehakmalik@example.com"/>
    <n v="9000000243"/>
    <x v="1"/>
    <x v="1"/>
    <x v="1"/>
    <s v="CRS002"/>
    <x v="3"/>
    <x v="0"/>
    <x v="1"/>
    <x v="1"/>
    <x v="0"/>
    <x v="0"/>
    <n v="0"/>
    <s v="Synthetic"/>
  </r>
  <r>
    <n v="321"/>
    <d v="2026-02-17T20:11:14"/>
    <x v="13"/>
    <x v="1"/>
    <x v="1"/>
    <s v="Rahul Sharma"/>
    <s v="demo.student318.rahulsharma@example.com"/>
    <n v="9000000318"/>
    <x v="4"/>
    <x v="4"/>
    <x v="2"/>
    <s v="CRS013"/>
    <x v="12"/>
    <x v="6"/>
    <x v="1"/>
    <x v="1"/>
    <x v="3"/>
    <x v="1"/>
    <n v="0"/>
    <s v="Synthetic"/>
  </r>
  <r>
    <n v="452"/>
    <d v="2026-02-18T07:52:49"/>
    <x v="13"/>
    <x v="1"/>
    <x v="1"/>
    <s v="Varun Verma"/>
    <s v="demo.student449.varunverma@example.com"/>
    <n v="9000000449"/>
    <x v="5"/>
    <x v="2"/>
    <x v="0"/>
    <s v="CRS004"/>
    <x v="2"/>
    <x v="2"/>
    <x v="0"/>
    <x v="1"/>
    <x v="2"/>
    <x v="5"/>
    <n v="0"/>
    <s v="Synthetic"/>
  </r>
  <r>
    <n v="231"/>
    <d v="2026-02-18T19:25:59"/>
    <x v="13"/>
    <x v="1"/>
    <x v="1"/>
    <s v="Khushi Khatri"/>
    <s v="demo.student228.khushikhatri@example.com"/>
    <n v="9000000228"/>
    <x v="2"/>
    <x v="2"/>
    <x v="4"/>
    <s v="CRS006"/>
    <x v="11"/>
    <x v="3"/>
    <x v="0"/>
    <x v="0"/>
    <x v="1"/>
    <x v="3"/>
    <n v="1"/>
    <s v="Synthetic"/>
  </r>
  <r>
    <n v="56"/>
    <d v="2026-02-19T20:26:27"/>
    <x v="13"/>
    <x v="1"/>
    <x v="1"/>
    <s v="Arjun Chauhan"/>
    <s v="demo.student053.arjunchauhan@example.com"/>
    <n v="9000000053"/>
    <x v="5"/>
    <x v="0"/>
    <x v="0"/>
    <s v="CRS011"/>
    <x v="7"/>
    <x v="6"/>
    <x v="1"/>
    <x v="3"/>
    <x v="6"/>
    <x v="3"/>
    <n v="1"/>
    <s v="Synthetic"/>
  </r>
  <r>
    <n v="454"/>
    <d v="2026-02-20T01:37:34"/>
    <x v="13"/>
    <x v="1"/>
    <x v="1"/>
    <s v="Rohit Dahiya"/>
    <s v="demo.student451.rohitdahiya@example.com"/>
    <n v="9000000451"/>
    <x v="3"/>
    <x v="2"/>
    <x v="0"/>
    <s v="CRS003"/>
    <x v="6"/>
    <x v="5"/>
    <x v="1"/>
    <x v="0"/>
    <x v="2"/>
    <x v="1"/>
    <n v="0"/>
    <s v="Synthetic"/>
  </r>
  <r>
    <n v="325"/>
    <d v="2026-02-20T17:09:13"/>
    <x v="13"/>
    <x v="1"/>
    <x v="1"/>
    <s v="Riya Saini"/>
    <s v="demo.student322.riyasaini@example.com"/>
    <n v="9000000322"/>
    <x v="3"/>
    <x v="2"/>
    <x v="1"/>
    <s v="CRS013"/>
    <x v="12"/>
    <x v="6"/>
    <x v="1"/>
    <x v="3"/>
    <x v="6"/>
    <x v="2"/>
    <n v="0"/>
    <s v="Synthetic"/>
  </r>
  <r>
    <n v="434"/>
    <d v="2026-02-20T21:34:39"/>
    <x v="13"/>
    <x v="1"/>
    <x v="1"/>
    <s v="Karan Yadav"/>
    <s v="demo.student431.karanyadav@example.com"/>
    <n v="9000000431"/>
    <x v="1"/>
    <x v="3"/>
    <x v="4"/>
    <s v="CRS001"/>
    <x v="0"/>
    <x v="0"/>
    <x v="0"/>
    <x v="0"/>
    <x v="0"/>
    <x v="3"/>
    <n v="1"/>
    <s v="Synthetic"/>
  </r>
  <r>
    <n v="396"/>
    <d v="2026-02-21T18:43:10"/>
    <x v="13"/>
    <x v="1"/>
    <x v="1"/>
    <s v="Saksham Bansal"/>
    <s v="demo.student393.sakshambansal@example.com"/>
    <n v="9000000393"/>
    <x v="5"/>
    <x v="0"/>
    <x v="1"/>
    <s v="CRS005"/>
    <x v="4"/>
    <x v="3"/>
    <x v="1"/>
    <x v="2"/>
    <x v="7"/>
    <x v="2"/>
    <n v="0"/>
    <s v="Synthetic"/>
  </r>
  <r>
    <n v="157"/>
    <d v="2026-02-23T16:49:12"/>
    <x v="13"/>
    <x v="1"/>
    <x v="1"/>
    <s v="Mohit Mehta"/>
    <s v="demo.student154.mohitmehta@example.com"/>
    <n v="9000000154"/>
    <x v="2"/>
    <x v="1"/>
    <x v="1"/>
    <s v="CRS004"/>
    <x v="2"/>
    <x v="2"/>
    <x v="1"/>
    <x v="1"/>
    <x v="3"/>
    <x v="2"/>
    <n v="0"/>
    <s v="Synthetic"/>
  </r>
  <r>
    <n v="447"/>
    <d v="2026-02-23T23:52:39"/>
    <x v="13"/>
    <x v="1"/>
    <x v="1"/>
    <s v="Mehak Yadav"/>
    <s v="demo.student444.mehakyadav@example.com"/>
    <n v="9000000444"/>
    <x v="5"/>
    <x v="0"/>
    <x v="2"/>
    <s v="CRS011"/>
    <x v="7"/>
    <x v="6"/>
    <x v="1"/>
    <x v="1"/>
    <x v="6"/>
    <x v="1"/>
    <n v="0"/>
    <s v="Synthetic"/>
  </r>
  <r>
    <n v="174"/>
    <d v="2026-02-24T06:17:08"/>
    <x v="13"/>
    <x v="1"/>
    <x v="1"/>
    <s v="Riya Verma"/>
    <s v="demo.student171.riyaverma@example.com"/>
    <n v="9000000171"/>
    <x v="8"/>
    <x v="0"/>
    <x v="1"/>
    <s v="CRS011"/>
    <x v="7"/>
    <x v="6"/>
    <x v="1"/>
    <x v="3"/>
    <x v="3"/>
    <x v="1"/>
    <n v="0"/>
    <s v="Synthetic"/>
  </r>
  <r>
    <n v="427"/>
    <d v="2026-02-25T06:13:08"/>
    <x v="13"/>
    <x v="1"/>
    <x v="1"/>
    <s v="Nisha Chauhan"/>
    <s v="demo.student424.nishachauhan@example.com"/>
    <n v="9000000424"/>
    <x v="2"/>
    <x v="0"/>
    <x v="1"/>
    <s v="CRS014"/>
    <x v="8"/>
    <x v="7"/>
    <x v="0"/>
    <x v="1"/>
    <x v="6"/>
    <x v="4"/>
    <n v="0"/>
    <s v="Synthetic"/>
  </r>
  <r>
    <n v="378"/>
    <d v="2026-02-27T12:00:08"/>
    <x v="13"/>
    <x v="1"/>
    <x v="1"/>
    <s v="Khushi Saini"/>
    <s v="demo.student375.khushisaini@example.com"/>
    <n v="9000000375"/>
    <x v="0"/>
    <x v="3"/>
    <x v="4"/>
    <s v="CRS005"/>
    <x v="4"/>
    <x v="3"/>
    <x v="0"/>
    <x v="0"/>
    <x v="0"/>
    <x v="3"/>
    <n v="1"/>
    <s v="Synthetic"/>
  </r>
  <r>
    <n v="114"/>
    <d v="2026-03-03T15:27:09"/>
    <x v="14"/>
    <x v="1"/>
    <x v="2"/>
    <s v="Aditi Gupta"/>
    <s v="demo.student111.aditigupta@example.com"/>
    <n v="9000000111"/>
    <x v="3"/>
    <x v="4"/>
    <x v="0"/>
    <s v="CRS003"/>
    <x v="6"/>
    <x v="5"/>
    <x v="0"/>
    <x v="0"/>
    <x v="3"/>
    <x v="4"/>
    <n v="0"/>
    <s v="Synthetic"/>
  </r>
  <r>
    <n v="355"/>
    <d v="2026-03-06T05:20:54"/>
    <x v="14"/>
    <x v="1"/>
    <x v="2"/>
    <s v="Sahil Khatri"/>
    <s v="demo.student352.sahilkhatri@example.com"/>
    <n v="9000000352"/>
    <x v="1"/>
    <x v="2"/>
    <x v="3"/>
    <s v="CRS006"/>
    <x v="11"/>
    <x v="3"/>
    <x v="1"/>
    <x v="1"/>
    <x v="6"/>
    <x v="2"/>
    <n v="0"/>
    <s v="Synthetic"/>
  </r>
  <r>
    <n v="195"/>
    <d v="2026-03-06T16:06:05"/>
    <x v="14"/>
    <x v="1"/>
    <x v="2"/>
    <s v="Akash Verma"/>
    <s v="demo.student192.akashverma@example.com"/>
    <n v="9000000192"/>
    <x v="9"/>
    <x v="2"/>
    <x v="1"/>
    <s v="CRS007"/>
    <x v="1"/>
    <x v="1"/>
    <x v="0"/>
    <x v="1"/>
    <x v="3"/>
    <x v="2"/>
    <n v="0"/>
    <s v="Synthetic"/>
  </r>
  <r>
    <n v="214"/>
    <d v="2026-03-10T18:45:04"/>
    <x v="14"/>
    <x v="1"/>
    <x v="2"/>
    <s v="Mohit Kumar"/>
    <s v="demo.student211.mohitkumar@example.com"/>
    <n v="9000000211"/>
    <x v="3"/>
    <x v="0"/>
    <x v="1"/>
    <s v="CRS009"/>
    <x v="13"/>
    <x v="10"/>
    <x v="0"/>
    <x v="2"/>
    <x v="0"/>
    <x v="3"/>
    <n v="1"/>
    <s v="Synthetic"/>
  </r>
  <r>
    <n v="315"/>
    <d v="2026-03-11T14:06:19"/>
    <x v="14"/>
    <x v="1"/>
    <x v="2"/>
    <s v="Diya Mehta"/>
    <s v="demo.student312.diyamehta@example.com"/>
    <n v="9000000312"/>
    <x v="8"/>
    <x v="0"/>
    <x v="0"/>
    <s v="CRS013"/>
    <x v="12"/>
    <x v="6"/>
    <x v="1"/>
    <x v="3"/>
    <x v="3"/>
    <x v="0"/>
    <n v="0"/>
    <s v="Synthetic"/>
  </r>
  <r>
    <n v="82"/>
    <d v="2026-03-13T15:32:13"/>
    <x v="14"/>
    <x v="1"/>
    <x v="2"/>
    <s v="Diya Dahiya"/>
    <s v="demo.student079.diyadahiya@example.com"/>
    <n v="9000000079"/>
    <x v="6"/>
    <x v="2"/>
    <x v="4"/>
    <s v="CRS009"/>
    <x v="13"/>
    <x v="10"/>
    <x v="1"/>
    <x v="0"/>
    <x v="4"/>
    <x v="2"/>
    <n v="0"/>
    <s v="Synthetic"/>
  </r>
  <r>
    <n v="258"/>
    <d v="2026-03-15T07:07:09"/>
    <x v="14"/>
    <x v="1"/>
    <x v="2"/>
    <s v="Simran Sharma"/>
    <s v="demo.student255.simransharma@example.com"/>
    <n v="9000000255"/>
    <x v="2"/>
    <x v="0"/>
    <x v="0"/>
    <s v="CRS005"/>
    <x v="4"/>
    <x v="3"/>
    <x v="0"/>
    <x v="2"/>
    <x v="0"/>
    <x v="3"/>
    <n v="1"/>
    <s v="Synthetic"/>
  </r>
  <r>
    <n v="198"/>
    <d v="2026-03-15T09:56:34"/>
    <x v="14"/>
    <x v="1"/>
    <x v="2"/>
    <s v="Rohit Saini"/>
    <s v="demo.student195.rohitsaini@example.com"/>
    <n v="9000000195"/>
    <x v="4"/>
    <x v="2"/>
    <x v="4"/>
    <s v="CRS003"/>
    <x v="6"/>
    <x v="5"/>
    <x v="1"/>
    <x v="0"/>
    <x v="0"/>
    <x v="0"/>
    <n v="0"/>
    <s v="Synthetic"/>
  </r>
  <r>
    <n v="194"/>
    <d v="2026-03-16T05:24:14"/>
    <x v="14"/>
    <x v="1"/>
    <x v="2"/>
    <s v="Arjun Yadav"/>
    <s v="demo.student191.arjunyadav@example.com"/>
    <n v="9000000191"/>
    <x v="4"/>
    <x v="5"/>
    <x v="3"/>
    <s v="CRS008"/>
    <x v="14"/>
    <x v="10"/>
    <x v="0"/>
    <x v="0"/>
    <x v="7"/>
    <x v="3"/>
    <n v="1"/>
    <s v="Synthetic"/>
  </r>
  <r>
    <n v="489"/>
    <d v="2026-03-16T14:31:37"/>
    <x v="14"/>
    <x v="1"/>
    <x v="2"/>
    <s v="Akash Khatri"/>
    <s v="demo.student486.akashkhatri@example.com"/>
    <n v="9000000486"/>
    <x v="8"/>
    <x v="2"/>
    <x v="0"/>
    <s v="CRS006"/>
    <x v="11"/>
    <x v="3"/>
    <x v="0"/>
    <x v="1"/>
    <x v="7"/>
    <x v="4"/>
    <n v="0"/>
    <s v="Synthetic"/>
  </r>
  <r>
    <n v="227"/>
    <d v="2026-03-16T17:29:19"/>
    <x v="14"/>
    <x v="1"/>
    <x v="2"/>
    <s v="Yash Gupta"/>
    <s v="demo.student224.yashgupta@example.com"/>
    <n v="9000000224"/>
    <x v="9"/>
    <x v="4"/>
    <x v="0"/>
    <s v="CRS008"/>
    <x v="14"/>
    <x v="10"/>
    <x v="0"/>
    <x v="3"/>
    <x v="0"/>
    <x v="3"/>
    <n v="1"/>
    <s v="Synthetic"/>
  </r>
  <r>
    <n v="236"/>
    <d v="2026-03-17T02:39:13"/>
    <x v="14"/>
    <x v="1"/>
    <x v="2"/>
    <s v="Neha Yadav"/>
    <s v="demo.student233.nehayadav@example.com"/>
    <n v="9000000233"/>
    <x v="9"/>
    <x v="1"/>
    <x v="1"/>
    <s v="CRS003"/>
    <x v="6"/>
    <x v="5"/>
    <x v="0"/>
    <x v="3"/>
    <x v="3"/>
    <x v="2"/>
    <n v="0"/>
    <s v="Synthetic"/>
  </r>
  <r>
    <n v="449"/>
    <d v="2026-03-20T21:26:18"/>
    <x v="14"/>
    <x v="1"/>
    <x v="2"/>
    <s v="Ayush Malik"/>
    <s v="demo.student446.ayushmalik@example.com"/>
    <n v="9000000446"/>
    <x v="5"/>
    <x v="4"/>
    <x v="0"/>
    <s v="CRS001"/>
    <x v="0"/>
    <x v="0"/>
    <x v="1"/>
    <x v="3"/>
    <x v="0"/>
    <x v="1"/>
    <n v="0"/>
    <s v="Synthetic"/>
  </r>
  <r>
    <n v="463"/>
    <d v="2026-03-21T05:25:28"/>
    <x v="14"/>
    <x v="1"/>
    <x v="2"/>
    <s v="Gaurav Singh"/>
    <s v="demo.student460.gauravsingh@example.com"/>
    <n v="9000000460"/>
    <x v="1"/>
    <x v="4"/>
    <x v="0"/>
    <s v="CRS008"/>
    <x v="14"/>
    <x v="10"/>
    <x v="1"/>
    <x v="3"/>
    <x v="0"/>
    <x v="3"/>
    <n v="1"/>
    <s v="Synthetic"/>
  </r>
  <r>
    <n v="387"/>
    <d v="2026-03-21T20:52:22"/>
    <x v="14"/>
    <x v="1"/>
    <x v="2"/>
    <s v="Isha Singh"/>
    <s v="demo.student384.ishasingh@example.com"/>
    <n v="9000000384"/>
    <x v="8"/>
    <x v="2"/>
    <x v="1"/>
    <s v="CRS001"/>
    <x v="0"/>
    <x v="0"/>
    <x v="1"/>
    <x v="1"/>
    <x v="5"/>
    <x v="4"/>
    <n v="0"/>
    <s v="Synthetic"/>
  </r>
  <r>
    <n v="330"/>
    <d v="2026-03-23T07:58:59"/>
    <x v="14"/>
    <x v="1"/>
    <x v="2"/>
    <s v="Aarav Bansal"/>
    <s v="demo.student327.aaravbansal@example.com"/>
    <n v="9000000327"/>
    <x v="9"/>
    <x v="2"/>
    <x v="0"/>
    <s v="CRS002"/>
    <x v="3"/>
    <x v="0"/>
    <x v="0"/>
    <x v="3"/>
    <x v="7"/>
    <x v="2"/>
    <n v="0"/>
    <s v="Synthetic"/>
  </r>
  <r>
    <n v="453"/>
    <d v="2026-03-25T04:55:32"/>
    <x v="14"/>
    <x v="1"/>
    <x v="2"/>
    <s v="Sahil Mehta"/>
    <s v="demo.student450.sahilmehta@example.com"/>
    <n v="9000000450"/>
    <x v="6"/>
    <x v="4"/>
    <x v="0"/>
    <s v="CRS011"/>
    <x v="7"/>
    <x v="6"/>
    <x v="1"/>
    <x v="3"/>
    <x v="3"/>
    <x v="5"/>
    <n v="0"/>
    <s v="Synthetic"/>
  </r>
  <r>
    <n v="8"/>
    <d v="2026-03-27T20:41:59"/>
    <x v="14"/>
    <x v="1"/>
    <x v="2"/>
    <s v="Nikhil Gupta"/>
    <s v="demo.student005.nikhilgupta@example.com"/>
    <n v="9000000005"/>
    <x v="3"/>
    <x v="4"/>
    <x v="0"/>
    <s v="CRS013"/>
    <x v="12"/>
    <x v="6"/>
    <x v="1"/>
    <x v="2"/>
    <x v="0"/>
    <x v="4"/>
    <n v="0"/>
    <s v="Synthetic"/>
  </r>
  <r>
    <n v="458"/>
    <d v="2026-03-29T13:10:08"/>
    <x v="14"/>
    <x v="1"/>
    <x v="2"/>
    <s v="Prachi Singh"/>
    <s v="demo.student455.prachisingh@example.com"/>
    <n v="9000000455"/>
    <x v="4"/>
    <x v="2"/>
    <x v="0"/>
    <s v="CRS006"/>
    <x v="11"/>
    <x v="3"/>
    <x v="1"/>
    <x v="3"/>
    <x v="2"/>
    <x v="3"/>
    <n v="1"/>
    <s v="Synthetic"/>
  </r>
  <r>
    <n v="170"/>
    <d v="2026-03-30T07:39:38"/>
    <x v="14"/>
    <x v="1"/>
    <x v="2"/>
    <s v="Shivani Verma"/>
    <s v="demo.student167.shivaniverma@example.com"/>
    <n v="9000000167"/>
    <x v="9"/>
    <x v="2"/>
    <x v="1"/>
    <s v="CRS012"/>
    <x v="10"/>
    <x v="9"/>
    <x v="1"/>
    <x v="3"/>
    <x v="5"/>
    <x v="1"/>
    <n v="0"/>
    <s v="Synthetic"/>
  </r>
  <r>
    <n v="374"/>
    <d v="2026-03-31T02:43:00"/>
    <x v="14"/>
    <x v="1"/>
    <x v="2"/>
    <s v="Pooja Panchal"/>
    <s v="demo.student371.poojapanchal@example.com"/>
    <n v="9000000371"/>
    <x v="8"/>
    <x v="0"/>
    <x v="1"/>
    <s v="CRS012"/>
    <x v="10"/>
    <x v="9"/>
    <x v="1"/>
    <x v="0"/>
    <x v="1"/>
    <x v="2"/>
    <n v="0"/>
    <s v="Synthetic"/>
  </r>
  <r>
    <n v="264"/>
    <d v="2026-03-31T12:44:52"/>
    <x v="14"/>
    <x v="1"/>
    <x v="2"/>
    <s v="Anjali Kumar"/>
    <s v="demo.student261.anjalikumar@example.com"/>
    <n v="9000000261"/>
    <x v="7"/>
    <x v="2"/>
    <x v="0"/>
    <s v="CRS013"/>
    <x v="12"/>
    <x v="6"/>
    <x v="1"/>
    <x v="2"/>
    <x v="5"/>
    <x v="1"/>
    <n v="0"/>
    <s v="Synthetic"/>
  </r>
  <r>
    <n v="38"/>
    <d v="2026-04-03T11:54:13"/>
    <x v="15"/>
    <x v="1"/>
    <x v="3"/>
    <s v="Shivani Saini"/>
    <s v="demo.student035.shivanisaini@example.com"/>
    <n v="9000000035"/>
    <x v="5"/>
    <x v="0"/>
    <x v="1"/>
    <s v="CRS014"/>
    <x v="8"/>
    <x v="7"/>
    <x v="0"/>
    <x v="3"/>
    <x v="4"/>
    <x v="2"/>
    <n v="0"/>
    <s v="Synthetic"/>
  </r>
  <r>
    <n v="322"/>
    <d v="2026-04-03T14:37:01"/>
    <x v="15"/>
    <x v="1"/>
    <x v="3"/>
    <s v="Nikhil Singh"/>
    <s v="demo.student319.nikhilsingh@example.com"/>
    <n v="9000000319"/>
    <x v="2"/>
    <x v="2"/>
    <x v="0"/>
    <s v="CRS009"/>
    <x v="13"/>
    <x v="10"/>
    <x v="0"/>
    <x v="0"/>
    <x v="4"/>
    <x v="4"/>
    <n v="0"/>
    <s v="Synthetic"/>
  </r>
  <r>
    <n v="74"/>
    <d v="2026-04-09T06:54:10"/>
    <x v="15"/>
    <x v="1"/>
    <x v="3"/>
    <s v="Pooja Khatri"/>
    <s v="demo.student071.poojakhatri@example.com"/>
    <n v="9000000071"/>
    <x v="1"/>
    <x v="2"/>
    <x v="0"/>
    <s v="CRS015"/>
    <x v="9"/>
    <x v="8"/>
    <x v="0"/>
    <x v="1"/>
    <x v="2"/>
    <x v="0"/>
    <n v="0"/>
    <s v="Synthetic"/>
  </r>
  <r>
    <n v="87"/>
    <d v="2026-04-09T11:25:00"/>
    <x v="15"/>
    <x v="1"/>
    <x v="3"/>
    <s v="Nikhil Mehta"/>
    <s v="demo.student084.nikhilmehta@example.com"/>
    <n v="9000000084"/>
    <x v="7"/>
    <x v="0"/>
    <x v="0"/>
    <s v="CRS010"/>
    <x v="5"/>
    <x v="4"/>
    <x v="0"/>
    <x v="1"/>
    <x v="7"/>
    <x v="2"/>
    <n v="0"/>
    <s v="Synthetic"/>
  </r>
  <r>
    <n v="394"/>
    <d v="2026-04-11T01:58:39"/>
    <x v="15"/>
    <x v="1"/>
    <x v="3"/>
    <s v="Manish Saini"/>
    <s v="demo.student391.manishsaini@example.com"/>
    <n v="9000000391"/>
    <x v="0"/>
    <x v="0"/>
    <x v="2"/>
    <s v="CRS005"/>
    <x v="4"/>
    <x v="3"/>
    <x v="0"/>
    <x v="3"/>
    <x v="7"/>
    <x v="1"/>
    <n v="0"/>
    <s v="Synthetic"/>
  </r>
  <r>
    <n v="492"/>
    <d v="2026-04-12T11:42:50"/>
    <x v="15"/>
    <x v="1"/>
    <x v="3"/>
    <s v="Simran Jain"/>
    <s v="demo.student489.simranjain@example.com"/>
    <n v="9000000489"/>
    <x v="1"/>
    <x v="4"/>
    <x v="1"/>
    <s v="CRS010"/>
    <x v="5"/>
    <x v="4"/>
    <x v="1"/>
    <x v="1"/>
    <x v="3"/>
    <x v="5"/>
    <n v="0"/>
    <s v="Synthetic"/>
  </r>
  <r>
    <n v="399"/>
    <d v="2026-04-12T14:23:09"/>
    <x v="15"/>
    <x v="1"/>
    <x v="3"/>
    <s v="Arjun Chauhan"/>
    <s v="demo.student396.arjunchauhan@example.com"/>
    <n v="9000000396"/>
    <x v="5"/>
    <x v="2"/>
    <x v="0"/>
    <s v="CRS015"/>
    <x v="9"/>
    <x v="8"/>
    <x v="1"/>
    <x v="1"/>
    <x v="0"/>
    <x v="3"/>
    <n v="1"/>
    <s v="Synthetic"/>
  </r>
  <r>
    <n v="124"/>
    <d v="2026-04-14T10:40:52"/>
    <x v="15"/>
    <x v="1"/>
    <x v="3"/>
    <s v="Nisha Bansal"/>
    <s v="demo.student121.nishabansal@example.com"/>
    <n v="9000000121"/>
    <x v="5"/>
    <x v="2"/>
    <x v="0"/>
    <s v="CRS008"/>
    <x v="14"/>
    <x v="10"/>
    <x v="1"/>
    <x v="0"/>
    <x v="0"/>
    <x v="4"/>
    <n v="0"/>
    <s v="Synthetic"/>
  </r>
  <r>
    <n v="384"/>
    <d v="2026-04-15T16:18:32"/>
    <x v="15"/>
    <x v="1"/>
    <x v="3"/>
    <s v="Prachi Malik"/>
    <s v="demo.student381.prachimalik@example.com"/>
    <n v="9000000381"/>
    <x v="1"/>
    <x v="0"/>
    <x v="2"/>
    <s v="CRS015"/>
    <x v="9"/>
    <x v="8"/>
    <x v="0"/>
    <x v="2"/>
    <x v="3"/>
    <x v="1"/>
    <n v="0"/>
    <s v="Synthetic"/>
  </r>
  <r>
    <n v="127"/>
    <d v="2026-04-16T08:47:06"/>
    <x v="15"/>
    <x v="1"/>
    <x v="3"/>
    <s v="Rahul Jain"/>
    <s v="demo.student124.rahuljain@example.com"/>
    <n v="9000000124"/>
    <x v="8"/>
    <x v="1"/>
    <x v="3"/>
    <s v="CRS001"/>
    <x v="0"/>
    <x v="0"/>
    <x v="1"/>
    <x v="0"/>
    <x v="0"/>
    <x v="2"/>
    <n v="0"/>
    <s v="Synthetic"/>
  </r>
  <r>
    <n v="137"/>
    <d v="2026-04-16T09:36:24"/>
    <x v="15"/>
    <x v="1"/>
    <x v="3"/>
    <s v="Gaurav Singh"/>
    <s v="demo.student134.gauravsingh@example.com"/>
    <n v="9000000134"/>
    <x v="6"/>
    <x v="1"/>
    <x v="1"/>
    <s v="CRS012"/>
    <x v="10"/>
    <x v="9"/>
    <x v="1"/>
    <x v="3"/>
    <x v="3"/>
    <x v="5"/>
    <n v="0"/>
    <s v="Synthetic"/>
  </r>
  <r>
    <n v="242"/>
    <d v="2026-04-20T10:10:30"/>
    <x v="15"/>
    <x v="1"/>
    <x v="3"/>
    <s v="Gaurav Verma"/>
    <s v="demo.student239.gauravverma@example.com"/>
    <n v="9000000239"/>
    <x v="8"/>
    <x v="0"/>
    <x v="1"/>
    <s v="CRS001"/>
    <x v="0"/>
    <x v="0"/>
    <x v="0"/>
    <x v="1"/>
    <x v="4"/>
    <x v="1"/>
    <n v="0"/>
    <s v="Synthetic"/>
  </r>
  <r>
    <n v="146"/>
    <d v="2026-04-20T23:40:11"/>
    <x v="15"/>
    <x v="1"/>
    <x v="3"/>
    <s v="Muskan Chauhan"/>
    <s v="demo.student143.muskanchauhan@example.com"/>
    <n v="9000000143"/>
    <x v="7"/>
    <x v="4"/>
    <x v="3"/>
    <s v="CRS011"/>
    <x v="7"/>
    <x v="6"/>
    <x v="1"/>
    <x v="2"/>
    <x v="0"/>
    <x v="0"/>
    <n v="0"/>
    <s v="Synthetic"/>
  </r>
  <r>
    <n v="451"/>
    <d v="2026-04-25T13:28:14"/>
    <x v="15"/>
    <x v="1"/>
    <x v="3"/>
    <s v="Rahul Khatri"/>
    <s v="demo.student448.rahulkhatri@example.com"/>
    <n v="9000000448"/>
    <x v="2"/>
    <x v="0"/>
    <x v="2"/>
    <s v="CRS014"/>
    <x v="8"/>
    <x v="7"/>
    <x v="0"/>
    <x v="0"/>
    <x v="3"/>
    <x v="1"/>
    <n v="0"/>
    <s v="Synthetic"/>
  </r>
  <r>
    <n v="410"/>
    <d v="2026-04-26T20:28:55"/>
    <x v="15"/>
    <x v="1"/>
    <x v="3"/>
    <s v="Manish Kumar"/>
    <s v="demo.student407.manishkumar@example.com"/>
    <n v="9000000407"/>
    <x v="6"/>
    <x v="0"/>
    <x v="2"/>
    <s v="CRS014"/>
    <x v="8"/>
    <x v="7"/>
    <x v="0"/>
    <x v="3"/>
    <x v="4"/>
    <x v="0"/>
    <n v="0"/>
    <s v="Synthetic"/>
  </r>
  <r>
    <n v="442"/>
    <d v="2026-04-26T21:22:33"/>
    <x v="15"/>
    <x v="1"/>
    <x v="3"/>
    <s v="Mehak Singh"/>
    <s v="demo.student439.mehaksingh@example.com"/>
    <n v="9000000439"/>
    <x v="6"/>
    <x v="1"/>
    <x v="1"/>
    <s v="CRS011"/>
    <x v="7"/>
    <x v="6"/>
    <x v="1"/>
    <x v="3"/>
    <x v="0"/>
    <x v="3"/>
    <n v="1"/>
    <s v="Synthetic"/>
  </r>
  <r>
    <n v="341"/>
    <d v="2026-04-27T05:13:46"/>
    <x v="15"/>
    <x v="1"/>
    <x v="3"/>
    <s v="Aarav Chauhan"/>
    <s v="demo.student338.aaravchauhan@example.com"/>
    <n v="9000000338"/>
    <x v="2"/>
    <x v="0"/>
    <x v="0"/>
    <s v="CRS010"/>
    <x v="5"/>
    <x v="4"/>
    <x v="0"/>
    <x v="2"/>
    <x v="1"/>
    <x v="2"/>
    <n v="0"/>
    <s v="Synthetic"/>
  </r>
  <r>
    <n v="68"/>
    <d v="2026-04-27T14:11:26"/>
    <x v="15"/>
    <x v="1"/>
    <x v="3"/>
    <s v="Ayush Bansal"/>
    <s v="demo.student065.ayushbansal@example.com"/>
    <n v="9000000065"/>
    <x v="0"/>
    <x v="2"/>
    <x v="0"/>
    <s v="CRS001"/>
    <x v="0"/>
    <x v="0"/>
    <x v="0"/>
    <x v="3"/>
    <x v="6"/>
    <x v="4"/>
    <n v="0"/>
    <s v="Synthetic"/>
  </r>
  <r>
    <n v="362"/>
    <d v="2026-04-28T19:44:02"/>
    <x v="15"/>
    <x v="1"/>
    <x v="3"/>
    <s v="Mehak Saini"/>
    <s v="demo.student359.mehaksaini@example.com"/>
    <n v="9000000359"/>
    <x v="4"/>
    <x v="1"/>
    <x v="1"/>
    <s v="CRS015"/>
    <x v="9"/>
    <x v="8"/>
    <x v="1"/>
    <x v="2"/>
    <x v="4"/>
    <x v="2"/>
    <n v="0"/>
    <s v="Synthetic"/>
  </r>
  <r>
    <n v="22"/>
    <d v="2026-04-28T23:32:10"/>
    <x v="15"/>
    <x v="1"/>
    <x v="3"/>
    <s v="Aditi Kumar"/>
    <s v="demo.student019.aditikumar@example.com"/>
    <n v="9000000019"/>
    <x v="8"/>
    <x v="2"/>
    <x v="0"/>
    <s v="CRS001"/>
    <x v="0"/>
    <x v="0"/>
    <x v="1"/>
    <x v="3"/>
    <x v="2"/>
    <x v="2"/>
    <n v="0"/>
    <s v="Synthetic"/>
  </r>
  <r>
    <n v="115"/>
    <d v="2026-04-30T03:01:49"/>
    <x v="15"/>
    <x v="1"/>
    <x v="3"/>
    <s v="Ananya Kumar"/>
    <s v="demo.student112.ananyakumar@example.com"/>
    <n v="9000000112"/>
    <x v="9"/>
    <x v="2"/>
    <x v="1"/>
    <s v="CRS013"/>
    <x v="12"/>
    <x v="6"/>
    <x v="1"/>
    <x v="3"/>
    <x v="6"/>
    <x v="3"/>
    <n v="1"/>
    <s v="Synthetic"/>
  </r>
  <r>
    <n v="310"/>
    <d v="2026-04-30T17:51:36"/>
    <x v="15"/>
    <x v="1"/>
    <x v="3"/>
    <s v="Simran Gupta"/>
    <s v="demo.student307.simrangupta@example.com"/>
    <n v="9000000307"/>
    <x v="5"/>
    <x v="0"/>
    <x v="1"/>
    <s v="CRS014"/>
    <x v="8"/>
    <x v="7"/>
    <x v="0"/>
    <x v="0"/>
    <x v="2"/>
    <x v="1"/>
    <n v="0"/>
    <s v="Synthetic"/>
  </r>
  <r>
    <n v="206"/>
    <d v="2026-05-01T20:28:20"/>
    <x v="16"/>
    <x v="1"/>
    <x v="4"/>
    <s v="Rahul Gupta"/>
    <s v="demo.student203.rahulgupta@example.com"/>
    <n v="9000000203"/>
    <x v="9"/>
    <x v="0"/>
    <x v="3"/>
    <s v="CRS012"/>
    <x v="10"/>
    <x v="9"/>
    <x v="1"/>
    <x v="2"/>
    <x v="3"/>
    <x v="3"/>
    <n v="1"/>
    <s v="Synthetic"/>
  </r>
  <r>
    <n v="377"/>
    <d v="2026-05-03T02:01:21"/>
    <x v="16"/>
    <x v="1"/>
    <x v="4"/>
    <s v="Yash Kumar"/>
    <s v="demo.student374.yashkumar@example.com"/>
    <n v="9000000374"/>
    <x v="7"/>
    <x v="0"/>
    <x v="0"/>
    <s v="CRS015"/>
    <x v="9"/>
    <x v="8"/>
    <x v="0"/>
    <x v="3"/>
    <x v="4"/>
    <x v="3"/>
    <n v="1"/>
    <s v="Synthetic"/>
  </r>
  <r>
    <n v="14"/>
    <d v="2026-05-03T04:26:15"/>
    <x v="16"/>
    <x v="1"/>
    <x v="4"/>
    <s v="Muskan Khatri"/>
    <s v="demo.student011.muskankhatri@example.com"/>
    <n v="9000000011"/>
    <x v="4"/>
    <x v="0"/>
    <x v="2"/>
    <s v="CRS008"/>
    <x v="14"/>
    <x v="10"/>
    <x v="0"/>
    <x v="0"/>
    <x v="3"/>
    <x v="3"/>
    <n v="1"/>
    <s v="Synthetic"/>
  </r>
  <r>
    <n v="248"/>
    <d v="2026-05-04T14:24:25"/>
    <x v="16"/>
    <x v="1"/>
    <x v="4"/>
    <s v="Ananya Khatri"/>
    <s v="demo.student245.ananyakhatri@example.com"/>
    <n v="9000000245"/>
    <x v="0"/>
    <x v="1"/>
    <x v="1"/>
    <s v="CRS005"/>
    <x v="4"/>
    <x v="3"/>
    <x v="1"/>
    <x v="2"/>
    <x v="3"/>
    <x v="2"/>
    <n v="0"/>
    <s v="Synthetic"/>
  </r>
  <r>
    <n v="419"/>
    <d v="2026-05-05T14:28:57"/>
    <x v="16"/>
    <x v="1"/>
    <x v="4"/>
    <s v="Ananya Kumar"/>
    <s v="demo.student416.ananyakumar@example.com"/>
    <n v="9000000416"/>
    <x v="7"/>
    <x v="0"/>
    <x v="2"/>
    <s v="CRS008"/>
    <x v="14"/>
    <x v="10"/>
    <x v="1"/>
    <x v="0"/>
    <x v="0"/>
    <x v="4"/>
    <n v="0"/>
    <s v="Synthetic"/>
  </r>
  <r>
    <n v="488"/>
    <d v="2026-05-08T20:57:59"/>
    <x v="16"/>
    <x v="1"/>
    <x v="4"/>
    <s v="Deepak Verma"/>
    <s v="demo.student485.deepakverma@example.com"/>
    <n v="9000000485"/>
    <x v="6"/>
    <x v="2"/>
    <x v="0"/>
    <s v="CRS008"/>
    <x v="14"/>
    <x v="10"/>
    <x v="1"/>
    <x v="1"/>
    <x v="0"/>
    <x v="3"/>
    <n v="1"/>
    <s v="Synthetic"/>
  </r>
  <r>
    <n v="136"/>
    <d v="2026-05-09T15:19:19"/>
    <x v="16"/>
    <x v="1"/>
    <x v="4"/>
    <s v="Neha Chauhan"/>
    <s v="demo.student133.nehachauhan@example.com"/>
    <n v="9000000133"/>
    <x v="0"/>
    <x v="3"/>
    <x v="4"/>
    <s v="CRS004"/>
    <x v="2"/>
    <x v="2"/>
    <x v="1"/>
    <x v="3"/>
    <x v="5"/>
    <x v="4"/>
    <n v="0"/>
    <s v="Synthetic"/>
  </r>
  <r>
    <n v="63"/>
    <d v="2026-05-10T20:25:02"/>
    <x v="16"/>
    <x v="1"/>
    <x v="4"/>
    <s v="Manish Panchal"/>
    <s v="demo.student060.manishpanchal@example.com"/>
    <n v="9000000060"/>
    <x v="4"/>
    <x v="0"/>
    <x v="2"/>
    <s v="CRS004"/>
    <x v="2"/>
    <x v="2"/>
    <x v="0"/>
    <x v="3"/>
    <x v="4"/>
    <x v="3"/>
    <n v="1"/>
    <s v="Synthetic"/>
  </r>
  <r>
    <n v="291"/>
    <d v="2026-05-12T01:44:10"/>
    <x v="16"/>
    <x v="1"/>
    <x v="4"/>
    <s v="Karan Verma"/>
    <s v="demo.student288.karanverma@example.com"/>
    <n v="9000000288"/>
    <x v="2"/>
    <x v="4"/>
    <x v="4"/>
    <s v="CRS003"/>
    <x v="6"/>
    <x v="5"/>
    <x v="1"/>
    <x v="3"/>
    <x v="0"/>
    <x v="0"/>
    <n v="0"/>
    <s v="Synthetic"/>
  </r>
  <r>
    <n v="138"/>
    <d v="2026-05-12T16:39:33"/>
    <x v="16"/>
    <x v="1"/>
    <x v="4"/>
    <s v="Khushi Khatri"/>
    <s v="demo.student135.khushikhatri@example.com"/>
    <n v="9000000135"/>
    <x v="1"/>
    <x v="0"/>
    <x v="1"/>
    <s v="CRS010"/>
    <x v="5"/>
    <x v="4"/>
    <x v="1"/>
    <x v="0"/>
    <x v="5"/>
    <x v="2"/>
    <n v="0"/>
    <s v="Synthetic"/>
  </r>
  <r>
    <n v="189"/>
    <d v="2026-05-14T19:03:05"/>
    <x v="16"/>
    <x v="1"/>
    <x v="4"/>
    <s v="Mohit Khatri"/>
    <s v="demo.student186.mohitkhatri@example.com"/>
    <n v="9000000186"/>
    <x v="9"/>
    <x v="0"/>
    <x v="2"/>
    <s v="CRS012"/>
    <x v="10"/>
    <x v="9"/>
    <x v="1"/>
    <x v="1"/>
    <x v="3"/>
    <x v="0"/>
    <n v="0"/>
    <s v="Synthetic"/>
  </r>
  <r>
    <n v="190"/>
    <d v="2026-05-14T21:11:43"/>
    <x v="16"/>
    <x v="1"/>
    <x v="4"/>
    <s v="Sonam Singh"/>
    <s v="demo.student187.sonamsingh@example.com"/>
    <n v="9000000187"/>
    <x v="1"/>
    <x v="0"/>
    <x v="3"/>
    <s v="CRS009"/>
    <x v="13"/>
    <x v="10"/>
    <x v="0"/>
    <x v="3"/>
    <x v="7"/>
    <x v="0"/>
    <n v="0"/>
    <s v="Synthetic"/>
  </r>
  <r>
    <n v="180"/>
    <d v="2026-05-16T01:16:50"/>
    <x v="16"/>
    <x v="1"/>
    <x v="4"/>
    <s v="Saksham Dahiya"/>
    <s v="demo.student177.sakshamdahiya@example.com"/>
    <n v="9000000177"/>
    <x v="5"/>
    <x v="1"/>
    <x v="1"/>
    <s v="CRS006"/>
    <x v="11"/>
    <x v="3"/>
    <x v="1"/>
    <x v="2"/>
    <x v="0"/>
    <x v="2"/>
    <n v="0"/>
    <s v="Synthetic"/>
  </r>
  <r>
    <n v="213"/>
    <d v="2026-05-17T09:15:11"/>
    <x v="16"/>
    <x v="1"/>
    <x v="4"/>
    <s v="Isha Bansal"/>
    <s v="demo.student210.ishabansal@example.com"/>
    <n v="9000000210"/>
    <x v="5"/>
    <x v="1"/>
    <x v="1"/>
    <s v="CRS010"/>
    <x v="5"/>
    <x v="4"/>
    <x v="1"/>
    <x v="2"/>
    <x v="3"/>
    <x v="0"/>
    <n v="0"/>
    <s v="Synthetic"/>
  </r>
  <r>
    <n v="502"/>
    <d v="2026-05-17T20:49:47"/>
    <x v="16"/>
    <x v="1"/>
    <x v="4"/>
    <s v="Sneha Saini"/>
    <s v="demo.student499.snehasaini@example.com"/>
    <n v="9000000499"/>
    <x v="8"/>
    <x v="0"/>
    <x v="1"/>
    <s v="CRS001"/>
    <x v="0"/>
    <x v="0"/>
    <x v="1"/>
    <x v="0"/>
    <x v="5"/>
    <x v="4"/>
    <n v="0"/>
    <s v="Synthetic"/>
  </r>
  <r>
    <n v="356"/>
    <d v="2026-05-19T09:44:33"/>
    <x v="16"/>
    <x v="1"/>
    <x v="4"/>
    <s v="Manish Saini"/>
    <s v="demo.student353.manishsaini@example.com"/>
    <n v="9000000353"/>
    <x v="6"/>
    <x v="1"/>
    <x v="1"/>
    <s v="CRS012"/>
    <x v="10"/>
    <x v="9"/>
    <x v="1"/>
    <x v="1"/>
    <x v="0"/>
    <x v="2"/>
    <n v="0"/>
    <s v="Synthetic"/>
  </r>
  <r>
    <n v="471"/>
    <d v="2026-05-20T18:54:04"/>
    <x v="16"/>
    <x v="1"/>
    <x v="4"/>
    <s v="Rahul Chauhan"/>
    <s v="demo.student468.rahulchauhan@example.com"/>
    <n v="9000000468"/>
    <x v="5"/>
    <x v="2"/>
    <x v="0"/>
    <s v="CRS005"/>
    <x v="4"/>
    <x v="3"/>
    <x v="1"/>
    <x v="3"/>
    <x v="4"/>
    <x v="0"/>
    <n v="0"/>
    <s v="Synthetic"/>
  </r>
  <r>
    <n v="128"/>
    <d v="2026-05-20T21:41:23"/>
    <x v="16"/>
    <x v="1"/>
    <x v="4"/>
    <s v="Diya Dahiya"/>
    <s v="demo.student125.diyadahiya@example.com"/>
    <n v="9000000125"/>
    <x v="2"/>
    <x v="2"/>
    <x v="0"/>
    <s v="CRS006"/>
    <x v="11"/>
    <x v="3"/>
    <x v="0"/>
    <x v="3"/>
    <x v="7"/>
    <x v="2"/>
    <n v="0"/>
    <s v="Synthetic"/>
  </r>
  <r>
    <n v="350"/>
    <d v="2026-05-21T07:29:18"/>
    <x v="16"/>
    <x v="1"/>
    <x v="4"/>
    <s v="Prachi Saini"/>
    <s v="demo.student347.prachisaini@example.com"/>
    <n v="9000000347"/>
    <x v="8"/>
    <x v="0"/>
    <x v="1"/>
    <s v="CRS012"/>
    <x v="10"/>
    <x v="9"/>
    <x v="1"/>
    <x v="3"/>
    <x v="7"/>
    <x v="3"/>
    <n v="1"/>
    <s v="Synthetic"/>
  </r>
  <r>
    <n v="383"/>
    <d v="2026-05-23T20:04:33"/>
    <x v="16"/>
    <x v="1"/>
    <x v="4"/>
    <s v="Riya Bansal"/>
    <s v="demo.student380.riyabansal@example.com"/>
    <n v="9000000380"/>
    <x v="7"/>
    <x v="4"/>
    <x v="0"/>
    <s v="CRS010"/>
    <x v="5"/>
    <x v="4"/>
    <x v="1"/>
    <x v="1"/>
    <x v="5"/>
    <x v="1"/>
    <n v="0"/>
    <s v="Synthetic"/>
  </r>
  <r>
    <n v="395"/>
    <d v="2026-05-24T18:37:26"/>
    <x v="16"/>
    <x v="1"/>
    <x v="4"/>
    <s v="Varun Verma"/>
    <s v="demo.student392.varunverma@example.com"/>
    <n v="9000000392"/>
    <x v="4"/>
    <x v="0"/>
    <x v="1"/>
    <s v="CRS007"/>
    <x v="1"/>
    <x v="1"/>
    <x v="1"/>
    <x v="2"/>
    <x v="0"/>
    <x v="3"/>
    <n v="1"/>
    <s v="Synthetic"/>
  </r>
  <r>
    <n v="55"/>
    <d v="2026-05-24T23:00:30"/>
    <x v="16"/>
    <x v="1"/>
    <x v="4"/>
    <s v="Aarav Mehta"/>
    <s v="demo.student052.aaravmehta@example.com"/>
    <n v="9000000052"/>
    <x v="8"/>
    <x v="2"/>
    <x v="0"/>
    <s v="CRS014"/>
    <x v="8"/>
    <x v="7"/>
    <x v="1"/>
    <x v="0"/>
    <x v="6"/>
    <x v="0"/>
    <n v="0"/>
    <s v="Synthetic"/>
  </r>
  <r>
    <n v="336"/>
    <d v="2026-05-25T02:35:32"/>
    <x v="16"/>
    <x v="1"/>
    <x v="4"/>
    <s v="Sahil Malik"/>
    <s v="demo.student333.sahilmalik@example.com"/>
    <n v="9000000333"/>
    <x v="6"/>
    <x v="3"/>
    <x v="4"/>
    <s v="CRS005"/>
    <x v="4"/>
    <x v="3"/>
    <x v="0"/>
    <x v="0"/>
    <x v="5"/>
    <x v="3"/>
    <n v="1"/>
    <s v="Synthetic"/>
  </r>
  <r>
    <n v="11"/>
    <d v="2026-05-25T22:48:27"/>
    <x v="16"/>
    <x v="1"/>
    <x v="4"/>
    <s v="Riya Malik"/>
    <s v="demo.student008.riyamalik@example.com"/>
    <n v="9000000008"/>
    <x v="1"/>
    <x v="1"/>
    <x v="1"/>
    <s v="CRS003"/>
    <x v="6"/>
    <x v="5"/>
    <x v="0"/>
    <x v="2"/>
    <x v="3"/>
    <x v="1"/>
    <n v="0"/>
    <s v="Synthetic"/>
  </r>
  <r>
    <n v="400"/>
    <d v="2026-05-26T00:59:34"/>
    <x v="16"/>
    <x v="1"/>
    <x v="4"/>
    <s v="Riya Saini"/>
    <s v="demo.student397.riyasaini@example.com"/>
    <n v="9000000397"/>
    <x v="0"/>
    <x v="0"/>
    <x v="3"/>
    <s v="CRS010"/>
    <x v="5"/>
    <x v="4"/>
    <x v="0"/>
    <x v="1"/>
    <x v="6"/>
    <x v="2"/>
    <n v="0"/>
    <s v="Synthetic"/>
  </r>
  <r>
    <n v="77"/>
    <d v="2026-05-28T03:50:36"/>
    <x v="16"/>
    <x v="1"/>
    <x v="4"/>
    <s v="Akash Mehta"/>
    <s v="demo.student074.akashmehta@example.com"/>
    <n v="9000000074"/>
    <x v="0"/>
    <x v="0"/>
    <x v="2"/>
    <s v="CRS014"/>
    <x v="8"/>
    <x v="7"/>
    <x v="0"/>
    <x v="3"/>
    <x v="1"/>
    <x v="3"/>
    <n v="1"/>
    <s v="Synthetic"/>
  </r>
  <r>
    <n v="380"/>
    <d v="2026-05-28T13:21:17"/>
    <x v="16"/>
    <x v="1"/>
    <x v="4"/>
    <s v="Shivani Singh"/>
    <s v="demo.student377.shivanisingh@example.com"/>
    <n v="9000000377"/>
    <x v="8"/>
    <x v="0"/>
    <x v="0"/>
    <s v="CRS010"/>
    <x v="5"/>
    <x v="4"/>
    <x v="1"/>
    <x v="0"/>
    <x v="3"/>
    <x v="0"/>
    <n v="0"/>
    <s v="Synthetic"/>
  </r>
  <r>
    <n v="359"/>
    <d v="2026-05-30T11:31:40"/>
    <x v="16"/>
    <x v="1"/>
    <x v="4"/>
    <s v="Ananya Khatri"/>
    <s v="demo.student356.ananyakhatri@example.com"/>
    <n v="9000000356"/>
    <x v="2"/>
    <x v="0"/>
    <x v="3"/>
    <s v="CRS010"/>
    <x v="5"/>
    <x v="4"/>
    <x v="1"/>
    <x v="3"/>
    <x v="7"/>
    <x v="3"/>
    <n v="1"/>
    <s v="Synthetic"/>
  </r>
  <r>
    <n v="103"/>
    <d v="2026-05-30T16:05:38"/>
    <x v="16"/>
    <x v="1"/>
    <x v="4"/>
    <s v="Prachi Gupta"/>
    <s v="demo.student100.prachigupta@example.com"/>
    <n v="9000000100"/>
    <x v="5"/>
    <x v="4"/>
    <x v="3"/>
    <s v="CRS012"/>
    <x v="10"/>
    <x v="9"/>
    <x v="1"/>
    <x v="0"/>
    <x v="2"/>
    <x v="1"/>
    <n v="0"/>
    <s v="Synthetic"/>
  </r>
  <r>
    <n v="153"/>
    <d v="2026-05-30T17:48:08"/>
    <x v="16"/>
    <x v="1"/>
    <x v="4"/>
    <s v="Diya Dahiya"/>
    <s v="demo.student150.diyadahiya@example.com"/>
    <n v="9000000150"/>
    <x v="9"/>
    <x v="4"/>
    <x v="0"/>
    <s v="CRS006"/>
    <x v="11"/>
    <x v="3"/>
    <x v="1"/>
    <x v="1"/>
    <x v="5"/>
    <x v="3"/>
    <n v="1"/>
    <s v="Synthetic"/>
  </r>
  <r>
    <n v="19"/>
    <d v="2026-05-31T08:12:40"/>
    <x v="16"/>
    <x v="1"/>
    <x v="4"/>
    <s v="Aditi Saini"/>
    <s v="demo.student016.aditisaini@example.com"/>
    <n v="9000000016"/>
    <x v="1"/>
    <x v="2"/>
    <x v="1"/>
    <s v="CRS010"/>
    <x v="5"/>
    <x v="4"/>
    <x v="1"/>
    <x v="1"/>
    <x v="4"/>
    <x v="4"/>
    <n v="0"/>
    <s v="Synthetic"/>
  </r>
  <r>
    <n v="352"/>
    <d v="2026-06-05T23:26:36"/>
    <x v="17"/>
    <x v="1"/>
    <x v="5"/>
    <s v="Ayush Sharma"/>
    <s v="demo.student349.ayushsharma@example.com"/>
    <n v="9000000349"/>
    <x v="1"/>
    <x v="4"/>
    <x v="1"/>
    <s v="CRS001"/>
    <x v="0"/>
    <x v="0"/>
    <x v="0"/>
    <x v="0"/>
    <x v="7"/>
    <x v="4"/>
    <n v="0"/>
    <s v="Synthetic"/>
  </r>
  <r>
    <n v="314"/>
    <d v="2026-06-07T05:32:10"/>
    <x v="17"/>
    <x v="1"/>
    <x v="5"/>
    <s v="Yash Bansal"/>
    <s v="demo.student311.yashbansal@example.com"/>
    <n v="9000000311"/>
    <x v="6"/>
    <x v="0"/>
    <x v="2"/>
    <s v="CRS015"/>
    <x v="9"/>
    <x v="8"/>
    <x v="0"/>
    <x v="1"/>
    <x v="0"/>
    <x v="2"/>
    <n v="0"/>
    <s v="Synthetic"/>
  </r>
  <r>
    <n v="177"/>
    <d v="2026-06-07T08:25:42"/>
    <x v="17"/>
    <x v="1"/>
    <x v="5"/>
    <s v="Ayush Panchal"/>
    <s v="demo.student174.ayushpanchal@example.com"/>
    <n v="9000000174"/>
    <x v="1"/>
    <x v="3"/>
    <x v="4"/>
    <s v="CRS010"/>
    <x v="5"/>
    <x v="4"/>
    <x v="0"/>
    <x v="2"/>
    <x v="0"/>
    <x v="4"/>
    <n v="0"/>
    <s v="Synthetic"/>
  </r>
  <r>
    <n v="494"/>
    <d v="2026-06-07T09:40:29"/>
    <x v="17"/>
    <x v="1"/>
    <x v="5"/>
    <s v="Ayush Jain"/>
    <s v="demo.student491.ayushjain@example.com"/>
    <n v="9000000491"/>
    <x v="2"/>
    <x v="0"/>
    <x v="3"/>
    <s v="CRS003"/>
    <x v="6"/>
    <x v="5"/>
    <x v="0"/>
    <x v="2"/>
    <x v="7"/>
    <x v="4"/>
    <n v="0"/>
    <s v="Synthetic"/>
  </r>
  <r>
    <n v="367"/>
    <d v="2026-06-08T08:11:53"/>
    <x v="17"/>
    <x v="1"/>
    <x v="5"/>
    <s v="Rohit Jain"/>
    <s v="demo.student364.rohitjain@example.com"/>
    <n v="9000000364"/>
    <x v="7"/>
    <x v="4"/>
    <x v="0"/>
    <s v="CRS007"/>
    <x v="1"/>
    <x v="1"/>
    <x v="0"/>
    <x v="3"/>
    <x v="7"/>
    <x v="0"/>
    <n v="0"/>
    <s v="Synthetic"/>
  </r>
  <r>
    <n v="408"/>
    <d v="2026-06-08T15:38:21"/>
    <x v="17"/>
    <x v="1"/>
    <x v="5"/>
    <s v="Mohit Kumar"/>
    <s v="demo.student405.mohitkumar@example.com"/>
    <n v="9000000405"/>
    <x v="6"/>
    <x v="2"/>
    <x v="0"/>
    <s v="CRS007"/>
    <x v="1"/>
    <x v="1"/>
    <x v="0"/>
    <x v="2"/>
    <x v="0"/>
    <x v="1"/>
    <n v="0"/>
    <s v="Synthetic"/>
  </r>
  <r>
    <n v="407"/>
    <d v="2026-06-11T03:34:20"/>
    <x v="17"/>
    <x v="1"/>
    <x v="5"/>
    <s v="Riya Bansal"/>
    <s v="demo.student404.riyabansal@example.com"/>
    <n v="9000000404"/>
    <x v="4"/>
    <x v="1"/>
    <x v="2"/>
    <s v="CRS004"/>
    <x v="2"/>
    <x v="2"/>
    <x v="1"/>
    <x v="0"/>
    <x v="5"/>
    <x v="5"/>
    <n v="0"/>
    <s v="Synthetic"/>
  </r>
  <r>
    <n v="7"/>
    <d v="2026-06-11T11:07:17"/>
    <x v="17"/>
    <x v="1"/>
    <x v="5"/>
    <s v="Diya Kumar"/>
    <s v="demo.student004.diyakumar@example.com"/>
    <n v="9000000004"/>
    <x v="8"/>
    <x v="0"/>
    <x v="1"/>
    <s v="CRS007"/>
    <x v="1"/>
    <x v="1"/>
    <x v="1"/>
    <x v="2"/>
    <x v="2"/>
    <x v="1"/>
    <n v="0"/>
    <s v="Synthetic"/>
  </r>
  <r>
    <n v="102"/>
    <d v="2026-06-12T06:54:27"/>
    <x v="17"/>
    <x v="1"/>
    <x v="5"/>
    <s v="Pooja Verma"/>
    <s v="demo.student099.poojaverma@example.com"/>
    <n v="9000000099"/>
    <x v="5"/>
    <x v="2"/>
    <x v="0"/>
    <s v="CRS009"/>
    <x v="13"/>
    <x v="10"/>
    <x v="0"/>
    <x v="0"/>
    <x v="3"/>
    <x v="3"/>
    <n v="1"/>
    <s v="Synthetic"/>
  </r>
  <r>
    <n v="89"/>
    <d v="2026-06-12T08:54:01"/>
    <x v="17"/>
    <x v="1"/>
    <x v="5"/>
    <s v="Prachi Jain"/>
    <s v="demo.student086.prachijain@example.com"/>
    <n v="9000000086"/>
    <x v="3"/>
    <x v="4"/>
    <x v="0"/>
    <s v="CRS011"/>
    <x v="7"/>
    <x v="6"/>
    <x v="1"/>
    <x v="3"/>
    <x v="3"/>
    <x v="3"/>
    <n v="1"/>
    <s v="Synthetic"/>
  </r>
  <r>
    <n v="392"/>
    <d v="2026-06-12T10:15:47"/>
    <x v="17"/>
    <x v="1"/>
    <x v="5"/>
    <s v="Yash Chauhan"/>
    <s v="demo.student389.yashchauhan@example.com"/>
    <n v="9000000389"/>
    <x v="5"/>
    <x v="3"/>
    <x v="4"/>
    <s v="CRS013"/>
    <x v="12"/>
    <x v="6"/>
    <x v="1"/>
    <x v="3"/>
    <x v="7"/>
    <x v="3"/>
    <n v="1"/>
    <s v="Synthetic"/>
  </r>
  <r>
    <n v="18"/>
    <d v="2026-06-12T21:07:20"/>
    <x v="17"/>
    <x v="1"/>
    <x v="5"/>
    <s v="Sonam Sharma"/>
    <s v="demo.student015.sonamsharma@example.com"/>
    <n v="9000000015"/>
    <x v="5"/>
    <x v="0"/>
    <x v="1"/>
    <s v="CRS011"/>
    <x v="7"/>
    <x v="6"/>
    <x v="1"/>
    <x v="1"/>
    <x v="1"/>
    <x v="5"/>
    <n v="0"/>
    <s v="Synthetic"/>
  </r>
  <r>
    <n v="240"/>
    <d v="2026-06-13T12:47:48"/>
    <x v="17"/>
    <x v="1"/>
    <x v="5"/>
    <s v="Anjali Singh"/>
    <s v="demo.student237.anjalisingh@example.com"/>
    <n v="9000000237"/>
    <x v="9"/>
    <x v="2"/>
    <x v="1"/>
    <s v="CRS009"/>
    <x v="13"/>
    <x v="10"/>
    <x v="1"/>
    <x v="3"/>
    <x v="1"/>
    <x v="0"/>
    <n v="0"/>
    <s v="Synthetic"/>
  </r>
  <r>
    <n v="317"/>
    <d v="2026-06-14T02:07:33"/>
    <x v="17"/>
    <x v="1"/>
    <x v="5"/>
    <s v="Sneha Saini"/>
    <s v="demo.student314.snehasaini@example.com"/>
    <n v="9000000314"/>
    <x v="5"/>
    <x v="4"/>
    <x v="0"/>
    <s v="CRS002"/>
    <x v="3"/>
    <x v="0"/>
    <x v="1"/>
    <x v="3"/>
    <x v="4"/>
    <x v="3"/>
    <n v="1"/>
    <s v="Synthetic"/>
  </r>
  <r>
    <n v="25"/>
    <d v="2026-06-16T20:30:46"/>
    <x v="17"/>
    <x v="1"/>
    <x v="5"/>
    <s v="Ayush Mehta"/>
    <s v="demo.student022.ayushmehta@example.com"/>
    <n v="9000000022"/>
    <x v="3"/>
    <x v="1"/>
    <x v="2"/>
    <s v="CRS014"/>
    <x v="8"/>
    <x v="7"/>
    <x v="0"/>
    <x v="0"/>
    <x v="2"/>
    <x v="3"/>
    <n v="1"/>
    <s v="Synthetic"/>
  </r>
  <r>
    <n v="104"/>
    <d v="2026-06-17T18:03:04"/>
    <x v="17"/>
    <x v="1"/>
    <x v="5"/>
    <s v="Diya Bansal"/>
    <s v="demo.student101.diyabansal@example.com"/>
    <n v="9000000101"/>
    <x v="0"/>
    <x v="4"/>
    <x v="2"/>
    <s v="CRS012"/>
    <x v="10"/>
    <x v="9"/>
    <x v="1"/>
    <x v="0"/>
    <x v="3"/>
    <x v="2"/>
    <n v="0"/>
    <s v="Synthetic"/>
  </r>
  <r>
    <n v="323"/>
    <d v="2026-06-18T19:30:35"/>
    <x v="17"/>
    <x v="1"/>
    <x v="5"/>
    <s v="Varun Panchal"/>
    <s v="demo.student320.varunpanchal@example.com"/>
    <n v="9000000320"/>
    <x v="8"/>
    <x v="0"/>
    <x v="1"/>
    <s v="CRS007"/>
    <x v="1"/>
    <x v="1"/>
    <x v="1"/>
    <x v="0"/>
    <x v="7"/>
    <x v="2"/>
    <n v="0"/>
    <s v="Synthetic"/>
  </r>
  <r>
    <n v="230"/>
    <d v="2026-06-20T15:22:52"/>
    <x v="17"/>
    <x v="1"/>
    <x v="5"/>
    <s v="Mehak Kumar"/>
    <s v="demo.student227.mehakkumar@example.com"/>
    <n v="9000000227"/>
    <x v="6"/>
    <x v="1"/>
    <x v="2"/>
    <s v="CRS010"/>
    <x v="5"/>
    <x v="4"/>
    <x v="1"/>
    <x v="1"/>
    <x v="6"/>
    <x v="4"/>
    <n v="0"/>
    <s v="Synthetic"/>
  </r>
  <r>
    <n v="347"/>
    <d v="2026-06-22T17:25:00"/>
    <x v="17"/>
    <x v="1"/>
    <x v="5"/>
    <s v="Tanya Khatri"/>
    <s v="demo.student344.tanyakhatri@example.com"/>
    <n v="9000000344"/>
    <x v="3"/>
    <x v="4"/>
    <x v="3"/>
    <s v="CRS003"/>
    <x v="6"/>
    <x v="5"/>
    <x v="0"/>
    <x v="3"/>
    <x v="0"/>
    <x v="3"/>
    <n v="1"/>
    <s v="Synthetic"/>
  </r>
  <r>
    <n v="348"/>
    <d v="2026-06-23T06:25:30"/>
    <x v="17"/>
    <x v="1"/>
    <x v="5"/>
    <s v="Tanya Saini"/>
    <s v="demo.student345.tanyasaini@example.com"/>
    <n v="9000000345"/>
    <x v="4"/>
    <x v="0"/>
    <x v="1"/>
    <s v="CRS010"/>
    <x v="5"/>
    <x v="4"/>
    <x v="1"/>
    <x v="0"/>
    <x v="5"/>
    <x v="5"/>
    <n v="0"/>
    <s v="Synthetic"/>
  </r>
  <r>
    <n v="210"/>
    <d v="2026-06-23T12:23:08"/>
    <x v="17"/>
    <x v="1"/>
    <x v="5"/>
    <s v="Khushi Malik"/>
    <s v="demo.student207.khushimalik@example.com"/>
    <n v="9000000207"/>
    <x v="7"/>
    <x v="1"/>
    <x v="2"/>
    <s v="CRS014"/>
    <x v="8"/>
    <x v="7"/>
    <x v="1"/>
    <x v="2"/>
    <x v="3"/>
    <x v="0"/>
    <n v="0"/>
    <s v="Synthetic"/>
  </r>
  <r>
    <n v="234"/>
    <d v="2026-06-24T23:12:50"/>
    <x v="17"/>
    <x v="1"/>
    <x v="5"/>
    <s v="Arjun Jain"/>
    <s v="demo.student231.arjunjain@example.com"/>
    <n v="9000000231"/>
    <x v="6"/>
    <x v="0"/>
    <x v="1"/>
    <s v="CRS005"/>
    <x v="4"/>
    <x v="3"/>
    <x v="1"/>
    <x v="0"/>
    <x v="6"/>
    <x v="5"/>
    <n v="0"/>
    <s v="Synthetic"/>
  </r>
  <r>
    <n v="113"/>
    <d v="2026-06-26T00:43:20"/>
    <x v="17"/>
    <x v="1"/>
    <x v="5"/>
    <s v="Akash Gupta"/>
    <s v="demo.student110.akashgupta@example.com"/>
    <n v="9000000110"/>
    <x v="8"/>
    <x v="1"/>
    <x v="3"/>
    <s v="CRS008"/>
    <x v="14"/>
    <x v="10"/>
    <x v="1"/>
    <x v="2"/>
    <x v="6"/>
    <x v="3"/>
    <n v="1"/>
    <s v="Synthetic"/>
  </r>
  <r>
    <n v="48"/>
    <d v="2026-06-27T17:19:26"/>
    <x v="17"/>
    <x v="1"/>
    <x v="5"/>
    <s v="Diya Saini"/>
    <s v="demo.student045.diyasaini@example.com"/>
    <n v="9000000045"/>
    <x v="9"/>
    <x v="2"/>
    <x v="0"/>
    <s v="CRS015"/>
    <x v="9"/>
    <x v="8"/>
    <x v="0"/>
    <x v="1"/>
    <x v="0"/>
    <x v="3"/>
    <n v="1"/>
    <s v="Synthetic"/>
  </r>
  <r>
    <n v="239"/>
    <d v="2026-06-28T15:31:55"/>
    <x v="17"/>
    <x v="1"/>
    <x v="5"/>
    <s v="Ananya Jain"/>
    <s v="demo.student236.ananyajain@example.com"/>
    <n v="9000000236"/>
    <x v="4"/>
    <x v="0"/>
    <x v="1"/>
    <s v="CRS012"/>
    <x v="10"/>
    <x v="9"/>
    <x v="1"/>
    <x v="3"/>
    <x v="3"/>
    <x v="3"/>
    <n v="1"/>
    <s v="Synthetic"/>
  </r>
  <r>
    <n v="298"/>
    <d v="2026-06-29T09:37:41"/>
    <x v="17"/>
    <x v="1"/>
    <x v="5"/>
    <s v="Simran Saini"/>
    <s v="demo.student295.simransaini@example.com"/>
    <n v="9000000295"/>
    <x v="3"/>
    <x v="0"/>
    <x v="2"/>
    <s v="CRS013"/>
    <x v="12"/>
    <x v="6"/>
    <x v="1"/>
    <x v="3"/>
    <x v="0"/>
    <x v="2"/>
    <n v="0"/>
    <s v="Synthetic"/>
  </r>
  <r>
    <n v="212"/>
    <d v="2026-06-30T08:24:39"/>
    <x v="17"/>
    <x v="1"/>
    <x v="5"/>
    <s v="Yash Sharma"/>
    <s v="demo.student209.yashsharma@example.com"/>
    <n v="9000000209"/>
    <x v="0"/>
    <x v="0"/>
    <x v="2"/>
    <s v="CRS006"/>
    <x v="11"/>
    <x v="3"/>
    <x v="0"/>
    <x v="3"/>
    <x v="7"/>
    <x v="2"/>
    <n v="0"/>
    <s v="Synthetic"/>
  </r>
  <r>
    <n v="365"/>
    <d v="2026-07-01T05:04:35"/>
    <x v="18"/>
    <x v="1"/>
    <x v="6"/>
    <s v="Saksham Chauhan"/>
    <s v="demo.student362.sakshamchauhan@example.com"/>
    <n v="9000000362"/>
    <x v="5"/>
    <x v="4"/>
    <x v="0"/>
    <s v="CRS009"/>
    <x v="13"/>
    <x v="10"/>
    <x v="0"/>
    <x v="1"/>
    <x v="3"/>
    <x v="2"/>
    <n v="0"/>
    <s v="Synthetic"/>
  </r>
  <r>
    <n v="91"/>
    <d v="2026-07-01T22:22:59"/>
    <x v="18"/>
    <x v="1"/>
    <x v="6"/>
    <s v="Saksham Singh"/>
    <s v="demo.student088.sakshamsingh@example.com"/>
    <n v="9000000088"/>
    <x v="4"/>
    <x v="4"/>
    <x v="0"/>
    <s v="CRS009"/>
    <x v="13"/>
    <x v="10"/>
    <x v="1"/>
    <x v="3"/>
    <x v="0"/>
    <x v="0"/>
    <n v="0"/>
    <s v="Synthetic"/>
  </r>
  <r>
    <n v="185"/>
    <d v="2026-07-02T00:11:50"/>
    <x v="18"/>
    <x v="1"/>
    <x v="6"/>
    <s v="Sneha Saini"/>
    <s v="demo.student182.snehasaini@example.com"/>
    <n v="9000000182"/>
    <x v="4"/>
    <x v="2"/>
    <x v="0"/>
    <s v="CRS010"/>
    <x v="5"/>
    <x v="4"/>
    <x v="0"/>
    <x v="0"/>
    <x v="7"/>
    <x v="1"/>
    <n v="0"/>
    <s v="Synthetic"/>
  </r>
  <r>
    <n v="191"/>
    <d v="2026-07-04T15:35:46"/>
    <x v="18"/>
    <x v="1"/>
    <x v="6"/>
    <s v="Diya Chauhan"/>
    <s v="demo.student188.diyachauhan@example.com"/>
    <n v="9000000188"/>
    <x v="8"/>
    <x v="2"/>
    <x v="1"/>
    <s v="CRS002"/>
    <x v="3"/>
    <x v="0"/>
    <x v="1"/>
    <x v="0"/>
    <x v="3"/>
    <x v="5"/>
    <n v="0"/>
    <s v="Synthetic"/>
  </r>
  <r>
    <n v="351"/>
    <d v="2026-07-06T22:39:50"/>
    <x v="18"/>
    <x v="1"/>
    <x v="6"/>
    <s v="Sneha Panchal"/>
    <s v="demo.student348.snehapanchal@example.com"/>
    <n v="9000000348"/>
    <x v="5"/>
    <x v="0"/>
    <x v="1"/>
    <s v="CRS011"/>
    <x v="7"/>
    <x v="6"/>
    <x v="1"/>
    <x v="2"/>
    <x v="7"/>
    <x v="0"/>
    <n v="0"/>
    <s v="Synthetic"/>
  </r>
  <r>
    <n v="217"/>
    <d v="2026-07-07T10:52:50"/>
    <x v="18"/>
    <x v="1"/>
    <x v="6"/>
    <s v="Nisha Verma"/>
    <s v="demo.student214.nishaverma@example.com"/>
    <n v="9000000214"/>
    <x v="7"/>
    <x v="2"/>
    <x v="0"/>
    <s v="CRS013"/>
    <x v="12"/>
    <x v="6"/>
    <x v="1"/>
    <x v="3"/>
    <x v="7"/>
    <x v="2"/>
    <n v="0"/>
    <s v="Synthetic"/>
  </r>
  <r>
    <n v="375"/>
    <d v="2026-07-08T13:21:14"/>
    <x v="18"/>
    <x v="1"/>
    <x v="6"/>
    <s v="Aarav Yadav"/>
    <s v="demo.student372.aaravyadav@example.com"/>
    <n v="9000000372"/>
    <x v="5"/>
    <x v="2"/>
    <x v="0"/>
    <s v="CRS004"/>
    <x v="2"/>
    <x v="2"/>
    <x v="1"/>
    <x v="1"/>
    <x v="7"/>
    <x v="3"/>
    <n v="1"/>
    <s v="Synthetic"/>
  </r>
  <r>
    <n v="487"/>
    <d v="2026-07-08T21:28:04"/>
    <x v="18"/>
    <x v="1"/>
    <x v="6"/>
    <s v="Aditi Singh"/>
    <s v="demo.student484.aditisingh@example.com"/>
    <n v="9000000484"/>
    <x v="4"/>
    <x v="1"/>
    <x v="1"/>
    <s v="CRS015"/>
    <x v="9"/>
    <x v="8"/>
    <x v="0"/>
    <x v="0"/>
    <x v="0"/>
    <x v="2"/>
    <n v="0"/>
    <s v="Synthetic"/>
  </r>
  <r>
    <n v="309"/>
    <d v="2026-07-08T23:26:44"/>
    <x v="18"/>
    <x v="1"/>
    <x v="6"/>
    <s v="Manish Gupta"/>
    <s v="demo.student306.manishgupta@example.com"/>
    <n v="9000000306"/>
    <x v="2"/>
    <x v="0"/>
    <x v="1"/>
    <s v="CRS005"/>
    <x v="4"/>
    <x v="3"/>
    <x v="1"/>
    <x v="0"/>
    <x v="5"/>
    <x v="2"/>
    <n v="0"/>
    <s v="Synthetic"/>
  </r>
  <r>
    <n v="295"/>
    <d v="2026-07-10T04:37:24"/>
    <x v="18"/>
    <x v="1"/>
    <x v="6"/>
    <s v="Mehak Malik"/>
    <s v="demo.student292.mehakmalik@example.com"/>
    <n v="9000000292"/>
    <x v="1"/>
    <x v="4"/>
    <x v="0"/>
    <s v="CRS007"/>
    <x v="1"/>
    <x v="1"/>
    <x v="0"/>
    <x v="3"/>
    <x v="4"/>
    <x v="0"/>
    <n v="0"/>
    <s v="Synthetic"/>
  </r>
  <r>
    <n v="345"/>
    <d v="2026-07-12T02:53:42"/>
    <x v="18"/>
    <x v="1"/>
    <x v="6"/>
    <s v="Khushi Malik"/>
    <s v="demo.student342.khushimalik@example.com"/>
    <n v="9000000342"/>
    <x v="6"/>
    <x v="4"/>
    <x v="2"/>
    <s v="CRS004"/>
    <x v="2"/>
    <x v="2"/>
    <x v="1"/>
    <x v="3"/>
    <x v="4"/>
    <x v="1"/>
    <n v="0"/>
    <s v="Synthetic"/>
  </r>
  <r>
    <n v="256"/>
    <d v="2026-07-14T20:08:24"/>
    <x v="18"/>
    <x v="1"/>
    <x v="6"/>
    <s v="Sahil Kumar"/>
    <s v="demo.student253.sahilkumar@example.com"/>
    <n v="9000000253"/>
    <x v="6"/>
    <x v="2"/>
    <x v="0"/>
    <s v="CRS007"/>
    <x v="1"/>
    <x v="1"/>
    <x v="0"/>
    <x v="0"/>
    <x v="3"/>
    <x v="5"/>
    <n v="0"/>
    <s v="Synthetic"/>
  </r>
  <r>
    <n v="154"/>
    <d v="2026-07-15T08:00:28"/>
    <x v="18"/>
    <x v="1"/>
    <x v="6"/>
    <s v="Pooja Dahiya"/>
    <s v="demo.student151.poojadahiya@example.com"/>
    <n v="9000000151"/>
    <x v="2"/>
    <x v="4"/>
    <x v="0"/>
    <s v="CRS013"/>
    <x v="12"/>
    <x v="6"/>
    <x v="1"/>
    <x v="1"/>
    <x v="0"/>
    <x v="1"/>
    <n v="0"/>
    <s v="Synthetic"/>
  </r>
  <r>
    <n v="503"/>
    <d v="2026-07-18T11:18:40"/>
    <x v="18"/>
    <x v="1"/>
    <x v="6"/>
    <s v="Ananya Chauhan"/>
    <s v="demo.student500.ananyachauhan@example.com"/>
    <n v="9000000500"/>
    <x v="6"/>
    <x v="0"/>
    <x v="1"/>
    <s v="CRS010"/>
    <x v="5"/>
    <x v="4"/>
    <x v="0"/>
    <x v="1"/>
    <x v="2"/>
    <x v="3"/>
    <n v="1"/>
    <s v="Synthetic"/>
  </r>
  <r>
    <n v="150"/>
    <d v="2026-07-18T18:01:23"/>
    <x v="18"/>
    <x v="1"/>
    <x v="6"/>
    <s v="Sahil Panchal"/>
    <s v="demo.student147.sahilpanchal@example.com"/>
    <n v="9000000147"/>
    <x v="1"/>
    <x v="4"/>
    <x v="0"/>
    <s v="CRS015"/>
    <x v="9"/>
    <x v="8"/>
    <x v="1"/>
    <x v="1"/>
    <x v="7"/>
    <x v="3"/>
    <n v="1"/>
    <s v="Synthetic"/>
  </r>
  <r>
    <n v="455"/>
    <d v="2026-07-19T04:09:15"/>
    <x v="18"/>
    <x v="1"/>
    <x v="6"/>
    <s v="Rahul Jain"/>
    <s v="demo.student452.rahuljain@example.com"/>
    <n v="9000000452"/>
    <x v="6"/>
    <x v="0"/>
    <x v="2"/>
    <s v="CRS007"/>
    <x v="1"/>
    <x v="1"/>
    <x v="0"/>
    <x v="2"/>
    <x v="7"/>
    <x v="3"/>
    <n v="1"/>
    <s v="Synthetic"/>
  </r>
  <r>
    <n v="467"/>
    <d v="2026-07-21T04:58:38"/>
    <x v="18"/>
    <x v="1"/>
    <x v="6"/>
    <s v="Karan Bansal"/>
    <s v="demo.student464.karanbansal@example.com"/>
    <n v="9000000464"/>
    <x v="7"/>
    <x v="2"/>
    <x v="0"/>
    <s v="CRS013"/>
    <x v="12"/>
    <x v="6"/>
    <x v="1"/>
    <x v="1"/>
    <x v="4"/>
    <x v="3"/>
    <n v="1"/>
    <s v="Synthetic"/>
  </r>
  <r>
    <n v="4"/>
    <d v="2026-07-21T06:03:51"/>
    <x v="18"/>
    <x v="1"/>
    <x v="6"/>
    <s v="Akash Verma"/>
    <s v="demo.student001.akashverma@example.com"/>
    <n v="9000000001"/>
    <x v="6"/>
    <x v="0"/>
    <x v="1"/>
    <s v="CRS006"/>
    <x v="11"/>
    <x v="3"/>
    <x v="0"/>
    <x v="2"/>
    <x v="4"/>
    <x v="1"/>
    <n v="0"/>
    <s v="Synthetic"/>
  </r>
  <r>
    <n v="498"/>
    <d v="2026-07-21T17:59:19"/>
    <x v="18"/>
    <x v="1"/>
    <x v="6"/>
    <s v="Diya Panchal"/>
    <s v="demo.student495.diyapanchal@example.com"/>
    <n v="9000000495"/>
    <x v="9"/>
    <x v="0"/>
    <x v="1"/>
    <s v="CRS009"/>
    <x v="13"/>
    <x v="10"/>
    <x v="0"/>
    <x v="1"/>
    <x v="7"/>
    <x v="0"/>
    <n v="0"/>
    <s v="Synthetic"/>
  </r>
  <r>
    <n v="173"/>
    <d v="2026-07-21T19:56:29"/>
    <x v="18"/>
    <x v="1"/>
    <x v="6"/>
    <s v="Kajal Khatri"/>
    <s v="demo.student170.kajalkhatri@example.com"/>
    <n v="9000000170"/>
    <x v="5"/>
    <x v="2"/>
    <x v="0"/>
    <s v="CRS011"/>
    <x v="7"/>
    <x v="6"/>
    <x v="1"/>
    <x v="2"/>
    <x v="4"/>
    <x v="3"/>
    <n v="1"/>
    <s v="Synthetic"/>
  </r>
  <r>
    <n v="9"/>
    <d v="2026-07-27T00:18:56"/>
    <x v="18"/>
    <x v="1"/>
    <x v="6"/>
    <s v="Tanya Malik"/>
    <s v="demo.student006.tanyamalik@example.com"/>
    <n v="9000000006"/>
    <x v="8"/>
    <x v="1"/>
    <x v="2"/>
    <s v="CRS013"/>
    <x v="12"/>
    <x v="6"/>
    <x v="1"/>
    <x v="0"/>
    <x v="3"/>
    <x v="0"/>
    <n v="0"/>
    <s v="Synthetic"/>
  </r>
  <r>
    <n v="276"/>
    <d v="2026-07-27T20:47:48"/>
    <x v="18"/>
    <x v="1"/>
    <x v="6"/>
    <s v="Muskan Dahiya"/>
    <s v="demo.student273.muskandahiya@example.com"/>
    <n v="9000000273"/>
    <x v="1"/>
    <x v="1"/>
    <x v="2"/>
    <s v="CRS015"/>
    <x v="9"/>
    <x v="8"/>
    <x v="0"/>
    <x v="2"/>
    <x v="0"/>
    <x v="0"/>
    <n v="0"/>
    <s v="Synthetic"/>
  </r>
  <r>
    <n v="277"/>
    <d v="2026-07-28T16:16:34"/>
    <x v="18"/>
    <x v="1"/>
    <x v="6"/>
    <s v="Kajal Kumar"/>
    <s v="demo.student274.kajalkumar@example.com"/>
    <n v="9000000274"/>
    <x v="6"/>
    <x v="1"/>
    <x v="1"/>
    <s v="CRS013"/>
    <x v="12"/>
    <x v="6"/>
    <x v="1"/>
    <x v="0"/>
    <x v="4"/>
    <x v="3"/>
    <n v="1"/>
    <s v="Synthetic"/>
  </r>
  <r>
    <n v="344"/>
    <d v="2026-08-01T02:24:22"/>
    <x v="19"/>
    <x v="1"/>
    <x v="7"/>
    <s v="Isha Malik"/>
    <s v="demo.student341.ishamalik@example.com"/>
    <n v="9000000341"/>
    <x v="5"/>
    <x v="2"/>
    <x v="0"/>
    <s v="CRS012"/>
    <x v="10"/>
    <x v="9"/>
    <x v="1"/>
    <x v="1"/>
    <x v="3"/>
    <x v="1"/>
    <n v="0"/>
    <s v="Synthetic"/>
  </r>
  <r>
    <n v="70"/>
    <d v="2026-08-01T14:08:09"/>
    <x v="19"/>
    <x v="1"/>
    <x v="7"/>
    <s v="Diya Jain"/>
    <s v="demo.student067.diyajain@example.com"/>
    <n v="9000000067"/>
    <x v="0"/>
    <x v="0"/>
    <x v="1"/>
    <s v="CRS011"/>
    <x v="7"/>
    <x v="6"/>
    <x v="1"/>
    <x v="2"/>
    <x v="6"/>
    <x v="3"/>
    <n v="1"/>
    <s v="Synthetic"/>
  </r>
  <r>
    <n v="302"/>
    <d v="2026-08-02T01:00:48"/>
    <x v="19"/>
    <x v="1"/>
    <x v="7"/>
    <s v="Ayush Chauhan"/>
    <s v="demo.student299.ayushchauhan@example.com"/>
    <n v="9000000299"/>
    <x v="9"/>
    <x v="0"/>
    <x v="0"/>
    <s v="CRS005"/>
    <x v="4"/>
    <x v="3"/>
    <x v="1"/>
    <x v="0"/>
    <x v="7"/>
    <x v="0"/>
    <n v="0"/>
    <s v="Synthetic"/>
  </r>
  <r>
    <n v="424"/>
    <d v="2026-08-02T03:50:29"/>
    <x v="19"/>
    <x v="1"/>
    <x v="7"/>
    <s v="Diya Mehta"/>
    <s v="demo.student421.diyamehta@example.com"/>
    <n v="9000000421"/>
    <x v="7"/>
    <x v="2"/>
    <x v="0"/>
    <s v="CRS005"/>
    <x v="4"/>
    <x v="3"/>
    <x v="1"/>
    <x v="3"/>
    <x v="3"/>
    <x v="0"/>
    <n v="0"/>
    <s v="Synthetic"/>
  </r>
  <r>
    <n v="439"/>
    <d v="2026-08-02T19:40:20"/>
    <x v="19"/>
    <x v="1"/>
    <x v="7"/>
    <s v="Nisha Singh"/>
    <s v="demo.student436.nishasingh@example.com"/>
    <n v="9000000436"/>
    <x v="0"/>
    <x v="0"/>
    <x v="1"/>
    <s v="CRS001"/>
    <x v="0"/>
    <x v="0"/>
    <x v="1"/>
    <x v="2"/>
    <x v="6"/>
    <x v="0"/>
    <n v="0"/>
    <s v="Synthetic"/>
  </r>
  <r>
    <n v="94"/>
    <d v="2026-08-03T15:48:34"/>
    <x v="19"/>
    <x v="1"/>
    <x v="7"/>
    <s v="Varun Verma"/>
    <s v="demo.student091.varunverma@example.com"/>
    <n v="9000000091"/>
    <x v="6"/>
    <x v="4"/>
    <x v="1"/>
    <s v="CRS005"/>
    <x v="4"/>
    <x v="3"/>
    <x v="0"/>
    <x v="3"/>
    <x v="5"/>
    <x v="0"/>
    <n v="0"/>
    <s v="Synthetic"/>
  </r>
  <r>
    <n v="369"/>
    <d v="2026-08-04T09:30:06"/>
    <x v="19"/>
    <x v="1"/>
    <x v="7"/>
    <s v="Sneha Singh"/>
    <s v="demo.student366.snehasingh@example.com"/>
    <n v="9000000366"/>
    <x v="5"/>
    <x v="1"/>
    <x v="1"/>
    <s v="CRS003"/>
    <x v="6"/>
    <x v="5"/>
    <x v="1"/>
    <x v="1"/>
    <x v="0"/>
    <x v="3"/>
    <n v="1"/>
    <s v="Synthetic"/>
  </r>
  <r>
    <n v="245"/>
    <d v="2026-08-05T05:48:57"/>
    <x v="19"/>
    <x v="1"/>
    <x v="7"/>
    <s v="Khushi Dahiya"/>
    <s v="demo.student242.khushidahiya@example.com"/>
    <n v="9000000242"/>
    <x v="5"/>
    <x v="0"/>
    <x v="1"/>
    <s v="CRS004"/>
    <x v="2"/>
    <x v="2"/>
    <x v="0"/>
    <x v="1"/>
    <x v="5"/>
    <x v="4"/>
    <n v="0"/>
    <s v="Synthetic"/>
  </r>
  <r>
    <n v="349"/>
    <d v="2026-08-05T16:41:16"/>
    <x v="19"/>
    <x v="1"/>
    <x v="7"/>
    <s v="Diya Jain"/>
    <s v="demo.student346.diyajain@example.com"/>
    <n v="9000000346"/>
    <x v="0"/>
    <x v="0"/>
    <x v="1"/>
    <s v="CRS015"/>
    <x v="9"/>
    <x v="8"/>
    <x v="1"/>
    <x v="1"/>
    <x v="3"/>
    <x v="3"/>
    <n v="1"/>
    <s v="Synthetic"/>
  </r>
  <r>
    <n v="21"/>
    <d v="2026-08-06T03:49:27"/>
    <x v="19"/>
    <x v="1"/>
    <x v="7"/>
    <s v="Mohit Chauhan"/>
    <s v="demo.student018.mohitchauhan@example.com"/>
    <n v="9000000018"/>
    <x v="0"/>
    <x v="2"/>
    <x v="0"/>
    <s v="CRS001"/>
    <x v="0"/>
    <x v="0"/>
    <x v="1"/>
    <x v="1"/>
    <x v="6"/>
    <x v="1"/>
    <n v="0"/>
    <s v="Synthetic"/>
  </r>
  <r>
    <n v="243"/>
    <d v="2026-08-08T19:36:12"/>
    <x v="19"/>
    <x v="1"/>
    <x v="7"/>
    <s v="Khushi Verma"/>
    <s v="demo.student240.khushiverma@example.com"/>
    <n v="9000000240"/>
    <x v="7"/>
    <x v="0"/>
    <x v="2"/>
    <s v="CRS003"/>
    <x v="6"/>
    <x v="5"/>
    <x v="1"/>
    <x v="0"/>
    <x v="1"/>
    <x v="2"/>
    <n v="0"/>
    <s v="Synthetic"/>
  </r>
  <r>
    <n v="361"/>
    <d v="2026-08-08T23:31:08"/>
    <x v="19"/>
    <x v="1"/>
    <x v="7"/>
    <s v="Pooja Yadav"/>
    <s v="demo.student358.poojayadav@example.com"/>
    <n v="9000000358"/>
    <x v="3"/>
    <x v="4"/>
    <x v="0"/>
    <s v="CRS004"/>
    <x v="2"/>
    <x v="2"/>
    <x v="0"/>
    <x v="3"/>
    <x v="7"/>
    <x v="2"/>
    <n v="0"/>
    <s v="Synthetic"/>
  </r>
  <r>
    <n v="35"/>
    <d v="2026-08-09T02:03:47"/>
    <x v="19"/>
    <x v="1"/>
    <x v="7"/>
    <s v="Neha Mehta"/>
    <s v="demo.student032.nehamehta@example.com"/>
    <n v="9000000032"/>
    <x v="9"/>
    <x v="4"/>
    <x v="3"/>
    <s v="CRS011"/>
    <x v="7"/>
    <x v="6"/>
    <x v="1"/>
    <x v="0"/>
    <x v="5"/>
    <x v="1"/>
    <n v="0"/>
    <s v="Synthetic"/>
  </r>
  <r>
    <n v="353"/>
    <d v="2026-08-09T17:00:33"/>
    <x v="19"/>
    <x v="1"/>
    <x v="7"/>
    <s v="Ananya Mehta"/>
    <s v="demo.student350.ananyamehta@example.com"/>
    <n v="9000000350"/>
    <x v="0"/>
    <x v="4"/>
    <x v="2"/>
    <s v="CRS004"/>
    <x v="2"/>
    <x v="2"/>
    <x v="1"/>
    <x v="3"/>
    <x v="6"/>
    <x v="4"/>
    <n v="0"/>
    <s v="Synthetic"/>
  </r>
  <r>
    <n v="332"/>
    <d v="2026-08-13T06:56:49"/>
    <x v="19"/>
    <x v="1"/>
    <x v="7"/>
    <s v="Nisha Jain"/>
    <s v="demo.student329.nishajain@example.com"/>
    <n v="9000000329"/>
    <x v="1"/>
    <x v="4"/>
    <x v="2"/>
    <s v="CRS002"/>
    <x v="3"/>
    <x v="0"/>
    <x v="0"/>
    <x v="1"/>
    <x v="0"/>
    <x v="5"/>
    <n v="0"/>
    <s v="Synthetic"/>
  </r>
  <r>
    <n v="96"/>
    <d v="2026-08-14T00:37:33"/>
    <x v="19"/>
    <x v="1"/>
    <x v="7"/>
    <s v="Karan Singh"/>
    <s v="demo.student093.karansingh@example.com"/>
    <n v="9000000093"/>
    <x v="7"/>
    <x v="4"/>
    <x v="1"/>
    <s v="CRS013"/>
    <x v="12"/>
    <x v="6"/>
    <x v="1"/>
    <x v="2"/>
    <x v="7"/>
    <x v="2"/>
    <n v="0"/>
    <s v="Synthetic"/>
  </r>
  <r>
    <n v="228"/>
    <d v="2026-08-14T16:30:13"/>
    <x v="19"/>
    <x v="1"/>
    <x v="7"/>
    <s v="Rahul Dahiya"/>
    <s v="demo.student225.rahuldahiya@example.com"/>
    <n v="9000000225"/>
    <x v="9"/>
    <x v="0"/>
    <x v="2"/>
    <s v="CRS001"/>
    <x v="0"/>
    <x v="0"/>
    <x v="1"/>
    <x v="3"/>
    <x v="7"/>
    <x v="0"/>
    <n v="0"/>
    <s v="Synthetic"/>
  </r>
  <r>
    <n v="33"/>
    <d v="2026-08-16T09:14:38"/>
    <x v="19"/>
    <x v="1"/>
    <x v="7"/>
    <s v="Karan Yadav"/>
    <s v="demo.student030.karanyadav@example.com"/>
    <n v="9000000030"/>
    <x v="8"/>
    <x v="2"/>
    <x v="0"/>
    <s v="CRS009"/>
    <x v="13"/>
    <x v="10"/>
    <x v="1"/>
    <x v="0"/>
    <x v="7"/>
    <x v="2"/>
    <n v="0"/>
    <s v="Synthetic"/>
  </r>
  <r>
    <n v="84"/>
    <d v="2026-08-16T16:59:57"/>
    <x v="19"/>
    <x v="1"/>
    <x v="7"/>
    <s v="Prachi Chauhan"/>
    <s v="demo.student081.prachichauhan@example.com"/>
    <n v="9000000081"/>
    <x v="2"/>
    <x v="0"/>
    <x v="1"/>
    <s v="CRS002"/>
    <x v="3"/>
    <x v="0"/>
    <x v="1"/>
    <x v="3"/>
    <x v="6"/>
    <x v="4"/>
    <n v="0"/>
    <s v="Synthetic"/>
  </r>
  <r>
    <n v="425"/>
    <d v="2026-08-18T13:33:57"/>
    <x v="19"/>
    <x v="1"/>
    <x v="7"/>
    <s v="Ananya Sharma"/>
    <s v="demo.student422.ananyasharma@example.com"/>
    <n v="9000000422"/>
    <x v="7"/>
    <x v="4"/>
    <x v="2"/>
    <s v="CRS009"/>
    <x v="13"/>
    <x v="10"/>
    <x v="0"/>
    <x v="3"/>
    <x v="6"/>
    <x v="3"/>
    <n v="1"/>
    <s v="Synthetic"/>
  </r>
  <r>
    <n v="90"/>
    <d v="2026-08-20T09:25:55"/>
    <x v="19"/>
    <x v="1"/>
    <x v="7"/>
    <s v="Aarav Kumar"/>
    <s v="demo.student087.aaravkumar@example.com"/>
    <n v="9000000087"/>
    <x v="8"/>
    <x v="0"/>
    <x v="0"/>
    <s v="CRS004"/>
    <x v="2"/>
    <x v="2"/>
    <x v="1"/>
    <x v="0"/>
    <x v="3"/>
    <x v="3"/>
    <n v="1"/>
    <s v="Synthetic"/>
  </r>
  <r>
    <n v="160"/>
    <d v="2026-08-21T11:04:21"/>
    <x v="19"/>
    <x v="1"/>
    <x v="7"/>
    <s v="Nisha Gupta"/>
    <s v="demo.student157.nishagupta@example.com"/>
    <n v="9000000157"/>
    <x v="7"/>
    <x v="0"/>
    <x v="1"/>
    <s v="CRS015"/>
    <x v="9"/>
    <x v="8"/>
    <x v="0"/>
    <x v="3"/>
    <x v="4"/>
    <x v="3"/>
    <n v="1"/>
    <s v="Synthetic"/>
  </r>
  <r>
    <n v="477"/>
    <d v="2026-08-22T11:46:20"/>
    <x v="19"/>
    <x v="1"/>
    <x v="7"/>
    <s v="Varun Saini"/>
    <s v="demo.student474.varunsaini@example.com"/>
    <n v="9000000474"/>
    <x v="8"/>
    <x v="4"/>
    <x v="0"/>
    <s v="CRS015"/>
    <x v="9"/>
    <x v="8"/>
    <x v="0"/>
    <x v="0"/>
    <x v="3"/>
    <x v="0"/>
    <n v="0"/>
    <s v="Synthetic"/>
  </r>
  <r>
    <n v="151"/>
    <d v="2026-08-26T00:42:17"/>
    <x v="19"/>
    <x v="1"/>
    <x v="7"/>
    <s v="Isha Dahiya"/>
    <s v="demo.student148.ishadahiya@example.com"/>
    <n v="9000000148"/>
    <x v="5"/>
    <x v="4"/>
    <x v="1"/>
    <s v="CRS010"/>
    <x v="5"/>
    <x v="4"/>
    <x v="0"/>
    <x v="3"/>
    <x v="2"/>
    <x v="2"/>
    <n v="0"/>
    <s v="Synthetic"/>
  </r>
  <r>
    <n v="53"/>
    <d v="2026-08-26T18:11:48"/>
    <x v="19"/>
    <x v="1"/>
    <x v="7"/>
    <s v="Mehak Panchal"/>
    <s v="demo.student050.mehakpanchal@example.com"/>
    <n v="9000000050"/>
    <x v="5"/>
    <x v="2"/>
    <x v="1"/>
    <s v="CRS014"/>
    <x v="8"/>
    <x v="7"/>
    <x v="1"/>
    <x v="2"/>
    <x v="0"/>
    <x v="1"/>
    <n v="0"/>
    <s v="Synthetic"/>
  </r>
  <r>
    <n v="413"/>
    <d v="2026-08-27T00:53:53"/>
    <x v="19"/>
    <x v="1"/>
    <x v="7"/>
    <s v="Tanya Yadav"/>
    <s v="demo.student410.tanyayadav@example.com"/>
    <n v="9000000410"/>
    <x v="8"/>
    <x v="0"/>
    <x v="1"/>
    <s v="CRS011"/>
    <x v="7"/>
    <x v="6"/>
    <x v="1"/>
    <x v="2"/>
    <x v="0"/>
    <x v="0"/>
    <n v="0"/>
    <s v="Synthetic"/>
  </r>
  <r>
    <n v="486"/>
    <d v="2026-08-29T05:36:02"/>
    <x v="19"/>
    <x v="1"/>
    <x v="7"/>
    <s v="Arjun Mehta"/>
    <s v="demo.student483.arjunmehta@example.com"/>
    <n v="9000000483"/>
    <x v="3"/>
    <x v="1"/>
    <x v="1"/>
    <s v="CRS003"/>
    <x v="6"/>
    <x v="5"/>
    <x v="0"/>
    <x v="2"/>
    <x v="0"/>
    <x v="4"/>
    <n v="0"/>
    <s v="Synthetic"/>
  </r>
  <r>
    <n v="119"/>
    <d v="2026-08-29T13:16:14"/>
    <x v="19"/>
    <x v="1"/>
    <x v="7"/>
    <s v="Yash Yadav"/>
    <s v="demo.student116.yashyadav@example.com"/>
    <n v="9000000116"/>
    <x v="9"/>
    <x v="5"/>
    <x v="2"/>
    <s v="CRS003"/>
    <x v="6"/>
    <x v="5"/>
    <x v="1"/>
    <x v="1"/>
    <x v="4"/>
    <x v="5"/>
    <n v="0"/>
    <s v="Synthetic"/>
  </r>
  <r>
    <n v="204"/>
    <d v="2026-08-29T13:45:53"/>
    <x v="19"/>
    <x v="1"/>
    <x v="7"/>
    <s v="Riya Sharma"/>
    <s v="demo.student201.riyasharma@example.com"/>
    <n v="9000000201"/>
    <x v="7"/>
    <x v="0"/>
    <x v="0"/>
    <s v="CRS007"/>
    <x v="1"/>
    <x v="1"/>
    <x v="0"/>
    <x v="1"/>
    <x v="7"/>
    <x v="2"/>
    <n v="0"/>
    <s v="Synthetic"/>
  </r>
  <r>
    <n v="308"/>
    <d v="2026-08-30T10:54:52"/>
    <x v="19"/>
    <x v="1"/>
    <x v="7"/>
    <s v="Muskan Bansal"/>
    <s v="demo.student305.muskanbansal@example.com"/>
    <n v="9000000305"/>
    <x v="1"/>
    <x v="0"/>
    <x v="1"/>
    <s v="CRS001"/>
    <x v="0"/>
    <x v="0"/>
    <x v="0"/>
    <x v="1"/>
    <x v="6"/>
    <x v="4"/>
    <n v="0"/>
    <s v="Synthetic"/>
  </r>
  <r>
    <n v="126"/>
    <d v="2026-08-31T05:42:38"/>
    <x v="19"/>
    <x v="1"/>
    <x v="7"/>
    <s v="Aditi Singh"/>
    <s v="demo.student123.aditisingh@example.com"/>
    <n v="9000000123"/>
    <x v="9"/>
    <x v="4"/>
    <x v="2"/>
    <s v="CRS011"/>
    <x v="7"/>
    <x v="6"/>
    <x v="1"/>
    <x v="1"/>
    <x v="7"/>
    <x v="5"/>
    <n v="0"/>
    <s v="Synthetic"/>
  </r>
  <r>
    <n v="368"/>
    <d v="2026-09-04T13:43:41"/>
    <x v="20"/>
    <x v="1"/>
    <x v="8"/>
    <s v="Prachi Saini"/>
    <s v="demo.student365.prachisaini@example.com"/>
    <n v="9000000365"/>
    <x v="2"/>
    <x v="0"/>
    <x v="1"/>
    <s v="CRS005"/>
    <x v="4"/>
    <x v="3"/>
    <x v="1"/>
    <x v="2"/>
    <x v="0"/>
    <x v="5"/>
    <n v="0"/>
    <s v="Synthetic"/>
  </r>
  <r>
    <n v="497"/>
    <d v="2026-09-05T13:49:49"/>
    <x v="20"/>
    <x v="1"/>
    <x v="8"/>
    <s v="Arjun Malik"/>
    <s v="demo.student494.arjunmalik@example.com"/>
    <n v="9000000494"/>
    <x v="2"/>
    <x v="0"/>
    <x v="2"/>
    <s v="CRS010"/>
    <x v="5"/>
    <x v="4"/>
    <x v="1"/>
    <x v="0"/>
    <x v="5"/>
    <x v="0"/>
    <n v="0"/>
    <s v="Synthetic"/>
  </r>
  <r>
    <n v="51"/>
    <d v="2026-09-06T23:46:57"/>
    <x v="20"/>
    <x v="1"/>
    <x v="8"/>
    <s v="Diya Chauhan"/>
    <s v="demo.student048.diyachauhan@example.com"/>
    <n v="9000000048"/>
    <x v="5"/>
    <x v="3"/>
    <x v="4"/>
    <s v="CRS013"/>
    <x v="12"/>
    <x v="6"/>
    <x v="1"/>
    <x v="3"/>
    <x v="0"/>
    <x v="3"/>
    <n v="1"/>
    <s v="Synthetic"/>
  </r>
  <r>
    <n v="120"/>
    <d v="2026-09-07T20:20:40"/>
    <x v="20"/>
    <x v="1"/>
    <x v="8"/>
    <s v="Simran Sharma"/>
    <s v="demo.student117.simransharma@example.com"/>
    <n v="9000000117"/>
    <x v="4"/>
    <x v="0"/>
    <x v="0"/>
    <s v="CRS001"/>
    <x v="0"/>
    <x v="0"/>
    <x v="1"/>
    <x v="0"/>
    <x v="5"/>
    <x v="3"/>
    <n v="1"/>
    <s v="Synthetic"/>
  </r>
  <r>
    <n v="99"/>
    <d v="2026-09-08T09:33:12"/>
    <x v="20"/>
    <x v="1"/>
    <x v="8"/>
    <s v="Tanya Jain"/>
    <s v="demo.student096.tanyajain@example.com"/>
    <n v="9000000096"/>
    <x v="1"/>
    <x v="0"/>
    <x v="1"/>
    <s v="CRS009"/>
    <x v="13"/>
    <x v="10"/>
    <x v="0"/>
    <x v="0"/>
    <x v="6"/>
    <x v="0"/>
    <n v="0"/>
    <s v="Synthetic"/>
  </r>
  <r>
    <n v="366"/>
    <d v="2026-09-10T06:14:12"/>
    <x v="20"/>
    <x v="1"/>
    <x v="8"/>
    <s v="Akash Verma"/>
    <s v="demo.student363.akashverma@example.com"/>
    <n v="9000000363"/>
    <x v="2"/>
    <x v="2"/>
    <x v="4"/>
    <s v="CRS003"/>
    <x v="6"/>
    <x v="5"/>
    <x v="0"/>
    <x v="0"/>
    <x v="0"/>
    <x v="5"/>
    <n v="0"/>
    <s v="Synthetic"/>
  </r>
  <r>
    <n v="273"/>
    <d v="2026-09-10T18:00:28"/>
    <x v="20"/>
    <x v="1"/>
    <x v="8"/>
    <s v="Mehak Bansal"/>
    <s v="demo.student270.mehakbansal@example.com"/>
    <n v="9000000270"/>
    <x v="1"/>
    <x v="5"/>
    <x v="3"/>
    <s v="CRS009"/>
    <x v="13"/>
    <x v="10"/>
    <x v="1"/>
    <x v="2"/>
    <x v="2"/>
    <x v="4"/>
    <n v="0"/>
    <s v="Synthetic"/>
  </r>
  <r>
    <n v="259"/>
    <d v="2026-09-11T15:01:20"/>
    <x v="20"/>
    <x v="1"/>
    <x v="8"/>
    <s v="Karan Mehta"/>
    <s v="demo.student256.karanmehta@example.com"/>
    <n v="9000000256"/>
    <x v="4"/>
    <x v="4"/>
    <x v="3"/>
    <s v="CRS013"/>
    <x v="12"/>
    <x v="6"/>
    <x v="1"/>
    <x v="3"/>
    <x v="3"/>
    <x v="0"/>
    <n v="0"/>
    <s v="Synthetic"/>
  </r>
  <r>
    <n v="220"/>
    <d v="2026-09-11T15:39:56"/>
    <x v="20"/>
    <x v="1"/>
    <x v="8"/>
    <s v="Khushi Gupta"/>
    <s v="demo.student217.khushigupta@example.com"/>
    <n v="9000000217"/>
    <x v="7"/>
    <x v="0"/>
    <x v="2"/>
    <s v="CRS013"/>
    <x v="12"/>
    <x v="6"/>
    <x v="1"/>
    <x v="0"/>
    <x v="0"/>
    <x v="2"/>
    <n v="0"/>
    <s v="Synthetic"/>
  </r>
  <r>
    <n v="499"/>
    <d v="2026-09-12T05:10:16"/>
    <x v="20"/>
    <x v="1"/>
    <x v="8"/>
    <s v="Aarav Verma"/>
    <s v="demo.student496.aaravverma@example.com"/>
    <n v="9000000496"/>
    <x v="7"/>
    <x v="2"/>
    <x v="4"/>
    <s v="CRS011"/>
    <x v="7"/>
    <x v="6"/>
    <x v="1"/>
    <x v="2"/>
    <x v="0"/>
    <x v="1"/>
    <n v="0"/>
    <s v="Synthetic"/>
  </r>
  <r>
    <n v="334"/>
    <d v="2026-09-12T08:28:15"/>
    <x v="20"/>
    <x v="1"/>
    <x v="8"/>
    <s v="Sneha Khatri"/>
    <s v="demo.student331.snehakhatri@example.com"/>
    <n v="9000000331"/>
    <x v="8"/>
    <x v="4"/>
    <x v="1"/>
    <s v="CRS015"/>
    <x v="9"/>
    <x v="8"/>
    <x v="0"/>
    <x v="1"/>
    <x v="3"/>
    <x v="3"/>
    <n v="1"/>
    <s v="Synthetic"/>
  </r>
  <r>
    <n v="432"/>
    <d v="2026-09-14T17:19:04"/>
    <x v="20"/>
    <x v="1"/>
    <x v="8"/>
    <s v="Saksham Bansal"/>
    <s v="demo.student429.sakshambansal@example.com"/>
    <n v="9000000429"/>
    <x v="3"/>
    <x v="0"/>
    <x v="0"/>
    <s v="CRS013"/>
    <x v="12"/>
    <x v="6"/>
    <x v="1"/>
    <x v="0"/>
    <x v="6"/>
    <x v="3"/>
    <n v="1"/>
    <s v="Synthetic"/>
  </r>
  <r>
    <n v="417"/>
    <d v="2026-09-14T18:46:44"/>
    <x v="20"/>
    <x v="1"/>
    <x v="8"/>
    <s v="Saksham Chauhan"/>
    <s v="demo.student414.sakshamchauhan@example.com"/>
    <n v="9000000414"/>
    <x v="8"/>
    <x v="0"/>
    <x v="1"/>
    <s v="CRS003"/>
    <x v="6"/>
    <x v="5"/>
    <x v="0"/>
    <x v="1"/>
    <x v="0"/>
    <x v="3"/>
    <n v="1"/>
    <s v="Synthetic"/>
  </r>
  <r>
    <n v="263"/>
    <d v="2026-09-15T09:18:27"/>
    <x v="20"/>
    <x v="1"/>
    <x v="8"/>
    <s v="Mehak Gupta"/>
    <s v="demo.student260.mehakgupta@example.com"/>
    <n v="9000000260"/>
    <x v="5"/>
    <x v="0"/>
    <x v="0"/>
    <s v="CRS006"/>
    <x v="11"/>
    <x v="3"/>
    <x v="1"/>
    <x v="0"/>
    <x v="5"/>
    <x v="2"/>
    <n v="0"/>
    <s v="Synthetic"/>
  </r>
  <r>
    <n v="405"/>
    <d v="2026-09-17T00:55:41"/>
    <x v="20"/>
    <x v="1"/>
    <x v="8"/>
    <s v="Anjali Dahiya"/>
    <s v="demo.student402.anjalidahiya@example.com"/>
    <n v="9000000402"/>
    <x v="0"/>
    <x v="0"/>
    <x v="0"/>
    <s v="CRS002"/>
    <x v="3"/>
    <x v="0"/>
    <x v="1"/>
    <x v="2"/>
    <x v="1"/>
    <x v="3"/>
    <n v="1"/>
    <s v="Synthetic"/>
  </r>
  <r>
    <n v="401"/>
    <d v="2026-09-17T18:58:00"/>
    <x v="20"/>
    <x v="1"/>
    <x v="8"/>
    <s v="Aarav Kumar"/>
    <s v="demo.student398.aaravkumar@example.com"/>
    <n v="9000000398"/>
    <x v="0"/>
    <x v="0"/>
    <x v="2"/>
    <s v="CRS015"/>
    <x v="9"/>
    <x v="8"/>
    <x v="0"/>
    <x v="1"/>
    <x v="6"/>
    <x v="0"/>
    <n v="0"/>
    <s v="Synthetic"/>
  </r>
  <r>
    <n v="297"/>
    <d v="2026-09-20T10:58:36"/>
    <x v="20"/>
    <x v="1"/>
    <x v="8"/>
    <s v="Mohit Yadav"/>
    <s v="demo.student294.mohityadav@example.com"/>
    <n v="9000000294"/>
    <x v="7"/>
    <x v="2"/>
    <x v="3"/>
    <s v="CRS015"/>
    <x v="9"/>
    <x v="8"/>
    <x v="1"/>
    <x v="0"/>
    <x v="4"/>
    <x v="3"/>
    <n v="1"/>
    <s v="Synthetic"/>
  </r>
  <r>
    <n v="1"/>
    <d v="2026-09-22T15:42:52"/>
    <x v="20"/>
    <x v="1"/>
    <x v="8"/>
    <s v="Sakshi"/>
    <s v="sakshipanchal726@gmail.com"/>
    <n v="8397929177"/>
    <x v="7"/>
    <x v="1"/>
    <x v="1"/>
    <s v="CRS001"/>
    <x v="0"/>
    <x v="0"/>
    <x v="1"/>
    <x v="1"/>
    <x v="4"/>
    <x v="3"/>
    <n v="1"/>
    <s v="Live"/>
  </r>
  <r>
    <n v="2"/>
    <d v="2026-09-22T15:47:31"/>
    <x v="20"/>
    <x v="1"/>
    <x v="8"/>
    <s v="SACHIN"/>
    <s v="sp3265602@gmail.com"/>
    <n v="9817123077"/>
    <x v="10"/>
    <x v="0"/>
    <x v="0"/>
    <s v="CRS003"/>
    <x v="6"/>
    <x v="5"/>
    <x v="0"/>
    <x v="3"/>
    <x v="3"/>
    <x v="3"/>
    <n v="1"/>
    <s v="Live"/>
  </r>
  <r>
    <n v="3"/>
    <d v="2026-09-23T15:04:31"/>
    <x v="20"/>
    <x v="1"/>
    <x v="8"/>
    <s v="VISHANT"/>
    <s v="VISHUPANCHAL418@GMAIL.COM"/>
    <n v="8529637410"/>
    <x v="8"/>
    <x v="4"/>
    <x v="0"/>
    <s v="CRS004"/>
    <x v="2"/>
    <x v="2"/>
    <x v="0"/>
    <x v="0"/>
    <x v="7"/>
    <x v="3"/>
    <n v="1"/>
    <s v="L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8DB27B-CAF1-414E-80CE-367A5FF8BFF9}" name="PT_Monthly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Enquiry_Year">
  <location ref="R3:S48" firstHeaderRow="1" firstDataRow="1" firstDataCol="1"/>
  <pivotFields count="20">
    <pivotField dataField="1" showAll="0"/>
    <pivotField numFmtId="22" showAll="0"/>
    <pivotField axis="axisRow" showAll="0">
      <items count="22">
        <item x="3"/>
        <item x="15"/>
        <item x="7"/>
        <item x="19"/>
        <item x="11"/>
        <item x="1"/>
        <item x="13"/>
        <item x="0"/>
        <item x="12"/>
        <item x="6"/>
        <item x="18"/>
        <item x="5"/>
        <item x="17"/>
        <item x="2"/>
        <item x="14"/>
        <item x="4"/>
        <item x="16"/>
        <item x="10"/>
        <item x="9"/>
        <item x="8"/>
        <item x="20"/>
        <item t="default"/>
      </items>
    </pivotField>
    <pivotField axis="axisRow"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pivotField numFmtId="49" showAll="0"/>
    <pivotField showAll="0"/>
    <pivotField showAll="0"/>
    <pivotField showAll="0"/>
    <pivotField showAll="0"/>
    <pivotField showAll="0">
      <items count="16">
        <item x="8"/>
        <item x="2"/>
        <item x="7"/>
        <item x="12"/>
        <item x="0"/>
        <item x="3"/>
        <item x="10"/>
        <item x="1"/>
        <item x="4"/>
        <item x="14"/>
        <item x="6"/>
        <item x="5"/>
        <item x="9"/>
        <item x="13"/>
        <item x="11"/>
        <item t="default"/>
      </items>
    </pivotField>
    <pivotField showAll="0"/>
    <pivotField showAll="0"/>
    <pivotField showAll="0"/>
    <pivotField showAll="0"/>
    <pivotField showAll="0">
      <items count="7">
        <item x="0"/>
        <item x="3"/>
        <item x="1"/>
        <item x="2"/>
        <item x="5"/>
        <item x="4"/>
        <item t="default"/>
      </items>
    </pivotField>
    <pivotField showAll="0"/>
    <pivotField showAll="0"/>
  </pivotFields>
  <rowFields count="3">
    <field x="3"/>
    <field x="4"/>
    <field x="2"/>
  </rowFields>
  <rowItems count="45">
    <i>
      <x/>
    </i>
    <i r="1">
      <x/>
    </i>
    <i r="2">
      <x v="7"/>
    </i>
    <i r="1">
      <x v="1"/>
    </i>
    <i r="2">
      <x v="5"/>
    </i>
    <i r="1">
      <x v="2"/>
    </i>
    <i r="2">
      <x v="13"/>
    </i>
    <i r="1">
      <x v="3"/>
    </i>
    <i r="2">
      <x/>
    </i>
    <i r="1">
      <x v="4"/>
    </i>
    <i r="2">
      <x v="15"/>
    </i>
    <i r="1">
      <x v="5"/>
    </i>
    <i r="2">
      <x v="11"/>
    </i>
    <i r="1">
      <x v="6"/>
    </i>
    <i r="2">
      <x v="9"/>
    </i>
    <i r="1">
      <x v="7"/>
    </i>
    <i r="2">
      <x v="2"/>
    </i>
    <i r="1">
      <x v="8"/>
    </i>
    <i r="2">
      <x v="19"/>
    </i>
    <i r="1">
      <x v="9"/>
    </i>
    <i r="2">
      <x v="18"/>
    </i>
    <i r="1">
      <x v="10"/>
    </i>
    <i r="2">
      <x v="17"/>
    </i>
    <i r="1">
      <x v="11"/>
    </i>
    <i r="2">
      <x v="4"/>
    </i>
    <i>
      <x v="1"/>
    </i>
    <i r="1">
      <x/>
    </i>
    <i r="2">
      <x v="8"/>
    </i>
    <i r="1">
      <x v="1"/>
    </i>
    <i r="2">
      <x v="6"/>
    </i>
    <i r="1">
      <x v="2"/>
    </i>
    <i r="2">
      <x v="14"/>
    </i>
    <i r="1">
      <x v="3"/>
    </i>
    <i r="2">
      <x v="1"/>
    </i>
    <i r="1">
      <x v="4"/>
    </i>
    <i r="2">
      <x v="16"/>
    </i>
    <i r="1">
      <x v="5"/>
    </i>
    <i r="2">
      <x v="12"/>
    </i>
    <i r="1">
      <x v="6"/>
    </i>
    <i r="2">
      <x v="10"/>
    </i>
    <i r="1">
      <x v="7"/>
    </i>
    <i r="2">
      <x v="3"/>
    </i>
    <i r="1">
      <x v="8"/>
    </i>
    <i r="2">
      <x v="20"/>
    </i>
    <i t="grand">
      <x/>
    </i>
  </rowItems>
  <colItems count="1">
    <i/>
  </colItems>
  <dataFields count="1">
    <dataField name="Total Enquiries" fld="0" subtotal="count" baseField="2" baseItem="0"/>
  </dataFields>
  <formats count="6">
    <format dxfId="7">
      <pivotArea field="2" type="button" dataOnly="0" labelOnly="1" outline="0" axis="axisRow" fieldPosition="2"/>
    </format>
    <format dxfId="6">
      <pivotArea dataOnly="0" labelOnly="1" fieldPosition="0">
        <references count="1">
          <reference field="2" count="1">
            <x v="16"/>
          </reference>
        </references>
      </pivotArea>
    </format>
    <format dxfId="5">
      <pivotArea dataOnly="0" fieldPosition="0">
        <references count="1">
          <reference field="2" count="1">
            <x v="16"/>
          </reference>
        </references>
      </pivotArea>
    </format>
    <format dxfId="4">
      <pivotArea collapsedLevelsAreSubtotals="1" fieldPosition="0">
        <references count="1">
          <reference field="2" count="1">
            <x v="16"/>
          </reference>
        </references>
      </pivotArea>
    </format>
    <format dxfId="3">
      <pivotArea dataOnly="0" labelOnly="1" fieldPosition="0">
        <references count="3">
          <reference field="2" count="1">
            <x v="16"/>
          </reference>
          <reference field="3" count="1" selected="0">
            <x v="1"/>
          </reference>
          <reference field="4" count="1" selected="0">
            <x v="4"/>
          </reference>
        </references>
      </pivotArea>
    </format>
    <format dxfId="2">
      <pivotArea collapsedLevelsAreSubtotals="1" fieldPosition="0">
        <references count="3">
          <reference field="2" count="1">
            <x v="16"/>
          </reference>
          <reference field="3" count="1" selected="0">
            <x v="1"/>
          </reference>
          <reference field="4" count="1" selected="0">
            <x v="4"/>
          </reference>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11791E-B86F-4120-B0EC-E3E08DA2E9AE}" name="PT_Lead_Sour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Lead Source">
  <location ref="N3:O12" firstHeaderRow="1" firstDataRow="1" firstDataCol="1"/>
  <pivotFields count="20">
    <pivotField dataField="1" showAll="0"/>
    <pivotField numFmtId="22" showAll="0"/>
    <pivotField showAll="0"/>
    <pivotField showAll="0">
      <items count="3">
        <item x="0"/>
        <item x="1"/>
        <item t="default"/>
      </items>
    </pivotField>
    <pivotField showAll="0"/>
    <pivotField showAll="0"/>
    <pivotField showAll="0"/>
    <pivotField numFmtId="49" showAll="0"/>
    <pivotField showAll="0"/>
    <pivotField showAll="0"/>
    <pivotField showAll="0"/>
    <pivotField showAll="0"/>
    <pivotField showAll="0">
      <items count="16">
        <item x="8"/>
        <item x="2"/>
        <item x="7"/>
        <item x="12"/>
        <item x="0"/>
        <item x="3"/>
        <item x="10"/>
        <item x="1"/>
        <item x="4"/>
        <item x="14"/>
        <item x="6"/>
        <item x="5"/>
        <item x="9"/>
        <item x="13"/>
        <item x="11"/>
        <item t="default"/>
      </items>
    </pivotField>
    <pivotField showAll="0"/>
    <pivotField showAll="0"/>
    <pivotField showAll="0"/>
    <pivotField axis="axisRow" showAll="0" sortType="descending">
      <items count="9">
        <item x="5"/>
        <item x="3"/>
        <item x="0"/>
        <item x="2"/>
        <item x="1"/>
        <item x="7"/>
        <item x="4"/>
        <item x="6"/>
        <item t="default"/>
      </items>
      <autoSortScope>
        <pivotArea dataOnly="0" outline="0" fieldPosition="0">
          <references count="1">
            <reference field="4294967294" count="1" selected="0">
              <x v="0"/>
            </reference>
          </references>
        </pivotArea>
      </autoSortScope>
    </pivotField>
    <pivotField showAll="0">
      <items count="7">
        <item x="0"/>
        <item x="3"/>
        <item x="1"/>
        <item x="2"/>
        <item x="5"/>
        <item x="4"/>
        <item t="default"/>
      </items>
    </pivotField>
    <pivotField showAll="0"/>
    <pivotField showAll="0"/>
  </pivotFields>
  <rowFields count="1">
    <field x="16"/>
  </rowFields>
  <rowItems count="9">
    <i>
      <x v="1"/>
    </i>
    <i>
      <x v="2"/>
    </i>
    <i>
      <x v="5"/>
    </i>
    <i>
      <x v="6"/>
    </i>
    <i>
      <x/>
    </i>
    <i>
      <x v="7"/>
    </i>
    <i>
      <x v="3"/>
    </i>
    <i>
      <x v="4"/>
    </i>
    <i t="grand">
      <x/>
    </i>
  </rowItems>
  <colItems count="1">
    <i/>
  </colItems>
  <dataFields count="1">
    <dataField name="Total Enquiries" fld="0" subtotal="count" baseField="16" baseItem="0"/>
  </dataFields>
  <formats count="1">
    <format dxfId="8">
      <pivotArea field="16" type="button" dataOnly="0" labelOnly="1" outline="0" axis="axisRow"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1"/>
          </reference>
        </references>
      </pivotArea>
    </chartFormat>
    <chartFormat chart="0" format="2">
      <pivotArea type="data" outline="0" fieldPosition="0">
        <references count="2">
          <reference field="4294967294" count="1" selected="0">
            <x v="0"/>
          </reference>
          <reference field="16" count="1" selected="0">
            <x v="2"/>
          </reference>
        </references>
      </pivotArea>
    </chartFormat>
    <chartFormat chart="0" format="3">
      <pivotArea type="data" outline="0" fieldPosition="0">
        <references count="2">
          <reference field="4294967294" count="1" selected="0">
            <x v="0"/>
          </reference>
          <reference field="16" count="1" selected="0">
            <x v="5"/>
          </reference>
        </references>
      </pivotArea>
    </chartFormat>
    <chartFormat chart="0" format="4">
      <pivotArea type="data" outline="0" fieldPosition="0">
        <references count="2">
          <reference field="4294967294" count="1" selected="0">
            <x v="0"/>
          </reference>
          <reference field="16" count="1" selected="0">
            <x v="6"/>
          </reference>
        </references>
      </pivotArea>
    </chartFormat>
    <chartFormat chart="0" format="5">
      <pivotArea type="data" outline="0" fieldPosition="0">
        <references count="2">
          <reference field="4294967294" count="1" selected="0">
            <x v="0"/>
          </reference>
          <reference field="16" count="1" selected="0">
            <x v="0"/>
          </reference>
        </references>
      </pivotArea>
    </chartFormat>
    <chartFormat chart="0" format="6">
      <pivotArea type="data" outline="0" fieldPosition="0">
        <references count="2">
          <reference field="4294967294" count="1" selected="0">
            <x v="0"/>
          </reference>
          <reference field="16" count="1" selected="0">
            <x v="7"/>
          </reference>
        </references>
      </pivotArea>
    </chartFormat>
    <chartFormat chart="0" format="7">
      <pivotArea type="data" outline="0" fieldPosition="0">
        <references count="2">
          <reference field="4294967294" count="1" selected="0">
            <x v="0"/>
          </reference>
          <reference field="16" count="1" selected="0">
            <x v="3"/>
          </reference>
        </references>
      </pivotArea>
    </chartFormat>
    <chartFormat chart="0" format="8">
      <pivotArea type="data" outline="0" fieldPosition="0">
        <references count="2">
          <reference field="4294967294" count="1" selected="0">
            <x v="0"/>
          </reference>
          <reference field="16" count="1" selected="0">
            <x v="4"/>
          </reference>
        </references>
      </pivotArea>
    </chartFormat>
    <chartFormat chart="14" format="18" series="1">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16" count="1" selected="0">
            <x v="1"/>
          </reference>
        </references>
      </pivotArea>
    </chartFormat>
    <chartFormat chart="14" format="20">
      <pivotArea type="data" outline="0" fieldPosition="0">
        <references count="2">
          <reference field="4294967294" count="1" selected="0">
            <x v="0"/>
          </reference>
          <reference field="16" count="1" selected="0">
            <x v="2"/>
          </reference>
        </references>
      </pivotArea>
    </chartFormat>
    <chartFormat chart="14" format="21">
      <pivotArea type="data" outline="0" fieldPosition="0">
        <references count="2">
          <reference field="4294967294" count="1" selected="0">
            <x v="0"/>
          </reference>
          <reference field="16" count="1" selected="0">
            <x v="5"/>
          </reference>
        </references>
      </pivotArea>
    </chartFormat>
    <chartFormat chart="14" format="22">
      <pivotArea type="data" outline="0" fieldPosition="0">
        <references count="2">
          <reference field="4294967294" count="1" selected="0">
            <x v="0"/>
          </reference>
          <reference field="16" count="1" selected="0">
            <x v="6"/>
          </reference>
        </references>
      </pivotArea>
    </chartFormat>
    <chartFormat chart="14" format="23">
      <pivotArea type="data" outline="0" fieldPosition="0">
        <references count="2">
          <reference field="4294967294" count="1" selected="0">
            <x v="0"/>
          </reference>
          <reference field="16" count="1" selected="0">
            <x v="0"/>
          </reference>
        </references>
      </pivotArea>
    </chartFormat>
    <chartFormat chart="14" format="24">
      <pivotArea type="data" outline="0" fieldPosition="0">
        <references count="2">
          <reference field="4294967294" count="1" selected="0">
            <x v="0"/>
          </reference>
          <reference field="16" count="1" selected="0">
            <x v="7"/>
          </reference>
        </references>
      </pivotArea>
    </chartFormat>
    <chartFormat chart="14" format="25">
      <pivotArea type="data" outline="0" fieldPosition="0">
        <references count="2">
          <reference field="4294967294" count="1" selected="0">
            <x v="0"/>
          </reference>
          <reference field="16" count="1" selected="0">
            <x v="3"/>
          </reference>
        </references>
      </pivotArea>
    </chartFormat>
    <chartFormat chart="14" format="26">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05587D-176D-4FE5-808A-B1F9787DD039}" name="PT_Course_Dem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rse Name">
  <location ref="A3:B19" firstHeaderRow="1" firstDataRow="1" firstDataCol="1"/>
  <pivotFields count="20">
    <pivotField dataField="1" showAll="0"/>
    <pivotField numFmtId="22" showAll="0"/>
    <pivotField showAll="0"/>
    <pivotField showAll="0">
      <items count="3">
        <item x="0"/>
        <item x="1"/>
        <item t="default"/>
      </items>
    </pivotField>
    <pivotField showAll="0"/>
    <pivotField showAll="0"/>
    <pivotField showAll="0"/>
    <pivotField numFmtId="49" showAll="0"/>
    <pivotField showAll="0"/>
    <pivotField showAll="0"/>
    <pivotField showAll="0"/>
    <pivotField showAll="0"/>
    <pivotField axis="axisRow" showAll="0" sortType="descending">
      <items count="16">
        <item x="8"/>
        <item x="2"/>
        <item x="7"/>
        <item x="12"/>
        <item x="0"/>
        <item x="3"/>
        <item x="10"/>
        <item x="1"/>
        <item x="4"/>
        <item x="14"/>
        <item x="6"/>
        <item x="5"/>
        <item x="9"/>
        <item x="1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3"/>
        <item x="1"/>
        <item x="2"/>
        <item x="5"/>
        <item x="4"/>
        <item t="default"/>
      </items>
    </pivotField>
    <pivotField showAll="0"/>
    <pivotField showAll="0"/>
  </pivotFields>
  <rowFields count="1">
    <field x="12"/>
  </rowFields>
  <rowItems count="16">
    <i>
      <x v="3"/>
    </i>
    <i>
      <x v="10"/>
    </i>
    <i>
      <x v="13"/>
    </i>
    <i>
      <x v="4"/>
    </i>
    <i>
      <x v="14"/>
    </i>
    <i>
      <x v="12"/>
    </i>
    <i>
      <x v="11"/>
    </i>
    <i>
      <x v="2"/>
    </i>
    <i>
      <x v="8"/>
    </i>
    <i>
      <x v="6"/>
    </i>
    <i>
      <x v="9"/>
    </i>
    <i>
      <x v="5"/>
    </i>
    <i>
      <x v="1"/>
    </i>
    <i>
      <x/>
    </i>
    <i>
      <x v="7"/>
    </i>
    <i t="grand">
      <x/>
    </i>
  </rowItems>
  <colItems count="1">
    <i/>
  </colItems>
  <dataFields count="1">
    <dataField name="Total Enquiries" fld="0" subtotal="count" baseField="12" baseItem="0"/>
  </dataFields>
  <formats count="3">
    <format dxfId="11">
      <pivotArea outline="0" collapsedLevelsAreSubtotals="1" fieldPosition="0"/>
    </format>
    <format dxfId="10">
      <pivotArea field="12" type="button" dataOnly="0" labelOnly="1" outline="0" axis="axisRow" fieldPosition="0"/>
    </format>
    <format dxfId="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E02E3C-5778-4EE0-81EE-D19DE1CFBD57}" name="PT_Age_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Group">
  <location ref="Z22:AA28" firstHeaderRow="1" firstDataRow="1" firstDataCol="1"/>
  <pivotFields count="20">
    <pivotField dataField="1" showAll="0"/>
    <pivotField numFmtId="22" showAll="0"/>
    <pivotField showAll="0"/>
    <pivotField showAll="0">
      <items count="3">
        <item x="0"/>
        <item x="1"/>
        <item t="default"/>
      </items>
    </pivotField>
    <pivotField showAll="0"/>
    <pivotField showAll="0"/>
    <pivotField showAll="0"/>
    <pivotField numFmtId="49" showAll="0"/>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items count="16">
        <item x="8"/>
        <item x="2"/>
        <item x="7"/>
        <item x="12"/>
        <item x="0"/>
        <item x="3"/>
        <item x="10"/>
        <item x="1"/>
        <item x="4"/>
        <item x="14"/>
        <item x="6"/>
        <item x="5"/>
        <item x="9"/>
        <item x="13"/>
        <item x="11"/>
        <item t="default"/>
      </items>
    </pivotField>
    <pivotField showAll="0"/>
    <pivotField showAll="0"/>
    <pivotField showAll="0"/>
    <pivotField showAll="0"/>
    <pivotField showAll="0">
      <items count="7">
        <item x="0"/>
        <item x="3"/>
        <item x="1"/>
        <item x="2"/>
        <item x="5"/>
        <item x="4"/>
        <item t="default"/>
      </items>
    </pivotField>
    <pivotField showAll="0"/>
    <pivotField showAll="0"/>
  </pivotFields>
  <rowFields count="1">
    <field x="10"/>
  </rowFields>
  <rowItems count="6">
    <i>
      <x v="1"/>
    </i>
    <i>
      <x/>
    </i>
    <i>
      <x v="2"/>
    </i>
    <i>
      <x v="3"/>
    </i>
    <i>
      <x v="4"/>
    </i>
    <i t="grand">
      <x/>
    </i>
  </rowItems>
  <colItems count="1">
    <i/>
  </colItems>
  <dataFields count="1">
    <dataField name="Total Enquiries" fld="0" subtotal="count" baseField="0" baseItem="0"/>
  </dataFields>
  <formats count="1">
    <format dxfId="12">
      <pivotArea field="10"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C4946B-FE6E-4E28-AD4B-471C43613639}" name="PT_Learning_M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Learning Mode">
  <location ref="E3:F6" firstHeaderRow="1" firstDataRow="1" firstDataCol="1"/>
  <pivotFields count="20">
    <pivotField dataField="1" showAll="0"/>
    <pivotField numFmtId="22" showAll="0"/>
    <pivotField showAll="0"/>
    <pivotField showAll="0">
      <items count="3">
        <item x="0"/>
        <item x="1"/>
        <item t="default"/>
      </items>
    </pivotField>
    <pivotField showAll="0"/>
    <pivotField showAll="0"/>
    <pivotField showAll="0"/>
    <pivotField numFmtId="49" showAll="0"/>
    <pivotField showAll="0"/>
    <pivotField showAll="0"/>
    <pivotField showAll="0"/>
    <pivotField showAll="0"/>
    <pivotField showAll="0">
      <items count="16">
        <item x="8"/>
        <item x="2"/>
        <item x="7"/>
        <item x="12"/>
        <item x="0"/>
        <item x="3"/>
        <item x="10"/>
        <item x="1"/>
        <item x="4"/>
        <item x="14"/>
        <item x="6"/>
        <item x="5"/>
        <item x="9"/>
        <item x="13"/>
        <item x="11"/>
        <item t="default"/>
      </items>
    </pivotField>
    <pivotField showAll="0"/>
    <pivotField axis="axisRow" showAll="0">
      <items count="3">
        <item x="1"/>
        <item x="0"/>
        <item t="default"/>
      </items>
    </pivotField>
    <pivotField showAll="0"/>
    <pivotField showAll="0"/>
    <pivotField showAll="0">
      <items count="7">
        <item x="0"/>
        <item x="3"/>
        <item x="1"/>
        <item x="2"/>
        <item x="5"/>
        <item x="4"/>
        <item t="default"/>
      </items>
    </pivotField>
    <pivotField showAll="0"/>
    <pivotField showAll="0"/>
  </pivotFields>
  <rowFields count="1">
    <field x="14"/>
  </rowFields>
  <rowItems count="3">
    <i>
      <x/>
    </i>
    <i>
      <x v="1"/>
    </i>
    <i t="grand">
      <x/>
    </i>
  </rowItems>
  <colItems count="1">
    <i/>
  </colItems>
  <dataFields count="1">
    <dataField name="Total Enquiries" fld="0" subtotal="count" baseField="0" baseItem="0"/>
  </dataFields>
  <formats count="2">
    <format dxfId="14">
      <pivotArea field="14" type="button" dataOnly="0" labelOnly="1" outline="0" axis="axisRow" fieldPosition="0"/>
    </format>
    <format dxfId="13">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0"/>
          </reference>
        </references>
      </pivotArea>
    </chartFormat>
    <chartFormat chart="1" format="2">
      <pivotArea type="data" outline="0" fieldPosition="0">
        <references count="2">
          <reference field="4294967294" count="1" selected="0">
            <x v="0"/>
          </reference>
          <reference field="1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4" count="1" selected="0">
            <x v="0"/>
          </reference>
        </references>
      </pivotArea>
    </chartFormat>
    <chartFormat chart="12"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BDBE36-E6F9-4044-9C4A-8C2CB8492BFE}" name="PT_City_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ity">
  <location ref="U3:V15" firstHeaderRow="1" firstDataRow="1" firstDataCol="1"/>
  <pivotFields count="20">
    <pivotField dataField="1" showAll="0"/>
    <pivotField numFmtId="22" showAll="0"/>
    <pivotField showAll="0"/>
    <pivotField showAll="0">
      <items count="3">
        <item x="0"/>
        <item x="1"/>
        <item t="default"/>
      </items>
    </pivotField>
    <pivotField showAll="0"/>
    <pivotField showAll="0"/>
    <pivotField showAll="0"/>
    <pivotField numFmtId="49" showAll="0"/>
    <pivotField axis="axisRow" showAll="0" sortType="descending">
      <items count="12">
        <item x="9"/>
        <item x="1"/>
        <item x="6"/>
        <item x="3"/>
        <item x="2"/>
        <item x="5"/>
        <item x="0"/>
        <item x="8"/>
        <item x="4"/>
        <item x="1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6">
        <item x="8"/>
        <item x="2"/>
        <item x="7"/>
        <item x="12"/>
        <item x="0"/>
        <item x="3"/>
        <item x="10"/>
        <item x="1"/>
        <item x="4"/>
        <item x="14"/>
        <item x="6"/>
        <item x="5"/>
        <item x="9"/>
        <item x="13"/>
        <item x="11"/>
        <item t="default"/>
      </items>
    </pivotField>
    <pivotField showAll="0"/>
    <pivotField showAll="0"/>
    <pivotField showAll="0"/>
    <pivotField showAll="0"/>
    <pivotField showAll="0">
      <items count="7">
        <item x="0"/>
        <item x="3"/>
        <item x="1"/>
        <item x="2"/>
        <item x="5"/>
        <item x="4"/>
        <item t="default"/>
      </items>
    </pivotField>
    <pivotField showAll="0"/>
    <pivotField showAll="0"/>
  </pivotFields>
  <rowFields count="1">
    <field x="8"/>
  </rowFields>
  <rowItems count="12">
    <i>
      <x v="5"/>
    </i>
    <i>
      <x v="10"/>
    </i>
    <i>
      <x v="6"/>
    </i>
    <i>
      <x v="2"/>
    </i>
    <i>
      <x v="7"/>
    </i>
    <i>
      <x/>
    </i>
    <i>
      <x v="1"/>
    </i>
    <i>
      <x v="4"/>
    </i>
    <i>
      <x v="3"/>
    </i>
    <i>
      <x v="8"/>
    </i>
    <i>
      <x v="9"/>
    </i>
    <i t="grand">
      <x/>
    </i>
  </rowItems>
  <colItems count="1">
    <i/>
  </colItems>
  <dataFields count="1">
    <dataField name="Total Enquiries" fld="0" subtotal="count" baseField="8" baseItem="0"/>
  </dataFields>
  <formats count="1">
    <format dxfId="15">
      <pivotArea field="8"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BA5870-47DA-4612-8B21-5850AB1A66C4}" name="PT_Qualifi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Qualification">
  <location ref="AD3:AE10" firstHeaderRow="1" firstDataRow="1" firstDataCol="1"/>
  <pivotFields count="20">
    <pivotField dataField="1" showAll="0"/>
    <pivotField numFmtId="22" showAll="0"/>
    <pivotField showAll="0"/>
    <pivotField showAll="0">
      <items count="3">
        <item x="0"/>
        <item x="1"/>
        <item t="default"/>
      </items>
    </pivotField>
    <pivotField showAll="0"/>
    <pivotField showAll="0"/>
    <pivotField showAll="0"/>
    <pivotField numFmtId="49" showAll="0"/>
    <pivotField showAll="0"/>
    <pivotField axis="axisRow" showAll="0" sortType="descending">
      <items count="7">
        <item x="3"/>
        <item x="2"/>
        <item x="4"/>
        <item x="0"/>
        <item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16">
        <item x="8"/>
        <item x="2"/>
        <item x="7"/>
        <item x="12"/>
        <item x="0"/>
        <item x="3"/>
        <item x="10"/>
        <item x="1"/>
        <item x="4"/>
        <item x="14"/>
        <item x="6"/>
        <item x="5"/>
        <item x="9"/>
        <item x="13"/>
        <item x="11"/>
        <item t="default"/>
      </items>
    </pivotField>
    <pivotField showAll="0"/>
    <pivotField showAll="0"/>
    <pivotField showAll="0"/>
    <pivotField showAll="0"/>
    <pivotField showAll="0">
      <items count="7">
        <item x="0"/>
        <item x="3"/>
        <item x="1"/>
        <item x="2"/>
        <item x="5"/>
        <item x="4"/>
        <item t="default"/>
      </items>
    </pivotField>
    <pivotField showAll="0"/>
    <pivotField showAll="0"/>
  </pivotFields>
  <rowFields count="1">
    <field x="9"/>
  </rowFields>
  <rowItems count="7">
    <i>
      <x v="3"/>
    </i>
    <i>
      <x v="1"/>
    </i>
    <i>
      <x v="2"/>
    </i>
    <i>
      <x v="5"/>
    </i>
    <i>
      <x/>
    </i>
    <i>
      <x v="4"/>
    </i>
    <i t="grand">
      <x/>
    </i>
  </rowItems>
  <colItems count="1">
    <i/>
  </colItems>
  <dataFields count="1">
    <dataField name="Total Enquiries" fld="0" subtotal="count" baseField="9" baseItem="0"/>
  </dataFields>
  <formats count="1">
    <format dxfId="16">
      <pivotArea field="9"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0C4CCC-6772-4C60-9CDC-4FAA92EFECA4}" name="PT_Category_Dem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rse Category">
  <location ref="E20:F32" firstHeaderRow="1" firstDataRow="1" firstDataCol="1"/>
  <pivotFields count="20">
    <pivotField dataField="1" showAll="0"/>
    <pivotField numFmtId="22" showAll="0"/>
    <pivotField showAll="0"/>
    <pivotField showAll="0">
      <items count="3">
        <item x="0"/>
        <item x="1"/>
        <item t="default"/>
      </items>
    </pivotField>
    <pivotField showAll="0"/>
    <pivotField showAll="0"/>
    <pivotField showAll="0"/>
    <pivotField numFmtId="49" showAll="0"/>
    <pivotField showAll="0"/>
    <pivotField showAll="0"/>
    <pivotField showAll="0"/>
    <pivotField showAll="0"/>
    <pivotField showAll="0">
      <items count="16">
        <item x="8"/>
        <item x="2"/>
        <item x="7"/>
        <item x="12"/>
        <item x="0"/>
        <item x="3"/>
        <item x="10"/>
        <item x="1"/>
        <item x="4"/>
        <item x="14"/>
        <item x="6"/>
        <item x="5"/>
        <item x="9"/>
        <item x="13"/>
        <item x="11"/>
        <item t="default"/>
      </items>
    </pivotField>
    <pivotField axis="axisRow" showAll="0">
      <items count="12">
        <item x="4"/>
        <item x="2"/>
        <item x="9"/>
        <item x="6"/>
        <item x="10"/>
        <item x="0"/>
        <item x="1"/>
        <item x="8"/>
        <item x="7"/>
        <item x="5"/>
        <item x="3"/>
        <item t="default"/>
      </items>
    </pivotField>
    <pivotField showAll="0"/>
    <pivotField showAll="0"/>
    <pivotField showAll="0"/>
    <pivotField showAll="0">
      <items count="7">
        <item x="0"/>
        <item x="3"/>
        <item x="1"/>
        <item x="2"/>
        <item x="5"/>
        <item x="4"/>
        <item t="default"/>
      </items>
    </pivotField>
    <pivotField showAll="0"/>
    <pivotField showAll="0"/>
  </pivotFields>
  <rowFields count="1">
    <field x="13"/>
  </rowFields>
  <rowItems count="12">
    <i>
      <x/>
    </i>
    <i>
      <x v="1"/>
    </i>
    <i>
      <x v="2"/>
    </i>
    <i>
      <x v="3"/>
    </i>
    <i>
      <x v="4"/>
    </i>
    <i>
      <x v="5"/>
    </i>
    <i>
      <x v="6"/>
    </i>
    <i>
      <x v="7"/>
    </i>
    <i>
      <x v="8"/>
    </i>
    <i>
      <x v="9"/>
    </i>
    <i>
      <x v="10"/>
    </i>
    <i t="grand">
      <x/>
    </i>
  </rowItems>
  <colItems count="1">
    <i/>
  </colItems>
  <dataFields count="1">
    <dataField name="Total Enquiries" fld="0" subtotal="count" baseField="0" baseItem="0"/>
  </dataFields>
  <formats count="4">
    <format dxfId="20">
      <pivotArea field="13" type="button" dataOnly="0" labelOnly="1" outline="0" axis="axisRow" fieldPosition="0"/>
    </format>
    <format dxfId="19">
      <pivotArea dataOnly="0" labelOnly="1" fieldPosition="0">
        <references count="1">
          <reference field="13" count="1">
            <x v="0"/>
          </reference>
        </references>
      </pivotArea>
    </format>
    <format dxfId="18">
      <pivotArea field="13" type="button" dataOnly="0" labelOnly="1" outline="0" axis="axisRow" fieldPosition="0"/>
    </format>
    <format dxfId="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D10AF9-F877-4CDC-9657-4D790271FB43}" name="PT_Preferred_Batc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eferred Batch">
  <location ref="AD24:AE29" firstHeaderRow="1" firstDataRow="1" firstDataCol="1"/>
  <pivotFields count="20">
    <pivotField dataField="1" showAll="0"/>
    <pivotField numFmtId="22" showAll="0"/>
    <pivotField showAll="0"/>
    <pivotField showAll="0">
      <items count="3">
        <item x="0"/>
        <item x="1"/>
        <item t="default"/>
      </items>
    </pivotField>
    <pivotField showAll="0"/>
    <pivotField showAll="0"/>
    <pivotField showAll="0"/>
    <pivotField numFmtId="49" showAll="0"/>
    <pivotField showAll="0"/>
    <pivotField showAll="0"/>
    <pivotField showAll="0"/>
    <pivotField showAll="0"/>
    <pivotField showAll="0">
      <items count="16">
        <item x="8"/>
        <item x="2"/>
        <item x="7"/>
        <item x="12"/>
        <item x="0"/>
        <item x="3"/>
        <item x="10"/>
        <item x="1"/>
        <item x="4"/>
        <item x="14"/>
        <item x="6"/>
        <item x="5"/>
        <item x="9"/>
        <item x="13"/>
        <item x="11"/>
        <item t="default"/>
      </items>
    </pivotField>
    <pivotField showAll="0"/>
    <pivotField showAll="0"/>
    <pivotField axis="axisRow" showAll="0">
      <items count="5">
        <item x="1"/>
        <item x="0"/>
        <item x="3"/>
        <item x="2"/>
        <item t="default"/>
      </items>
    </pivotField>
    <pivotField showAll="0"/>
    <pivotField showAll="0">
      <items count="7">
        <item x="0"/>
        <item x="3"/>
        <item x="1"/>
        <item x="2"/>
        <item x="5"/>
        <item x="4"/>
        <item t="default"/>
      </items>
    </pivotField>
    <pivotField showAll="0"/>
    <pivotField showAll="0"/>
  </pivotFields>
  <rowFields count="1">
    <field x="15"/>
  </rowFields>
  <rowItems count="5">
    <i>
      <x/>
    </i>
    <i>
      <x v="1"/>
    </i>
    <i>
      <x v="2"/>
    </i>
    <i>
      <x v="3"/>
    </i>
    <i t="grand">
      <x/>
    </i>
  </rowItems>
  <colItems count="1">
    <i/>
  </colItems>
  <dataFields count="1">
    <dataField name="Total Enquiries" fld="0" subtotal="count" baseField="15" baseItem="0"/>
  </dataFields>
  <formats count="2">
    <format dxfId="22">
      <pivotArea field="15" type="button" dataOnly="0" labelOnly="1" outline="0" axis="axisRow" fieldPosition="0"/>
    </format>
    <format dxfId="2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95057E-764F-462E-B534-167E894E2348}" name="PT_Status_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Enquiry Status">
  <location ref="I3:J10" firstHeaderRow="1" firstDataRow="1" firstDataCol="1"/>
  <pivotFields count="20">
    <pivotField dataField="1" showAll="0"/>
    <pivotField numFmtId="22" showAll="0"/>
    <pivotField showAll="0"/>
    <pivotField showAll="0">
      <items count="3">
        <item x="0"/>
        <item x="1"/>
        <item t="default"/>
      </items>
    </pivotField>
    <pivotField showAll="0"/>
    <pivotField showAll="0"/>
    <pivotField showAll="0"/>
    <pivotField numFmtId="49" showAll="0"/>
    <pivotField showAll="0"/>
    <pivotField showAll="0"/>
    <pivotField showAll="0"/>
    <pivotField showAll="0"/>
    <pivotField showAll="0">
      <items count="16">
        <item x="8"/>
        <item x="2"/>
        <item x="7"/>
        <item x="12"/>
        <item x="0"/>
        <item x="3"/>
        <item x="10"/>
        <item x="1"/>
        <item x="4"/>
        <item x="14"/>
        <item x="6"/>
        <item x="5"/>
        <item x="9"/>
        <item x="13"/>
        <item x="11"/>
        <item t="default"/>
      </items>
    </pivotField>
    <pivotField showAll="0"/>
    <pivotField showAll="0"/>
    <pivotField showAll="0"/>
    <pivotField showAll="0"/>
    <pivotField axis="axisRow" showAll="0">
      <items count="7">
        <item x="0"/>
        <item x="3"/>
        <item x="1"/>
        <item x="2"/>
        <item x="5"/>
        <item x="4"/>
        <item t="default"/>
      </items>
    </pivotField>
    <pivotField showAll="0"/>
    <pivotField showAll="0"/>
  </pivotFields>
  <rowFields count="1">
    <field x="17"/>
  </rowFields>
  <rowItems count="7">
    <i>
      <x/>
    </i>
    <i>
      <x v="1"/>
    </i>
    <i>
      <x v="2"/>
    </i>
    <i>
      <x v="3"/>
    </i>
    <i>
      <x v="4"/>
    </i>
    <i>
      <x v="5"/>
    </i>
    <i t="grand">
      <x/>
    </i>
  </rowItems>
  <colItems count="1">
    <i/>
  </colItems>
  <dataFields count="1">
    <dataField name="Total Enquiries" fld="0" subtotal="count" baseField="17" baseItem="0"/>
  </dataFields>
  <formats count="1">
    <format dxfId="23">
      <pivotArea field="17"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F45BCE-9BD2-41D6-8399-81408FDE5268}" name="PT_Course_Conver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urse Name">
  <location ref="Z3:AB19" firstHeaderRow="0" firstDataRow="1" firstDataCol="1"/>
  <pivotFields count="20">
    <pivotField dataField="1" showAll="0"/>
    <pivotField numFmtId="22" showAll="0"/>
    <pivotField showAll="0"/>
    <pivotField showAll="0">
      <items count="3">
        <item x="0"/>
        <item x="1"/>
        <item t="default"/>
      </items>
    </pivotField>
    <pivotField showAll="0"/>
    <pivotField showAll="0"/>
    <pivotField showAll="0"/>
    <pivotField numFmtId="49" showAll="0"/>
    <pivotField showAll="0"/>
    <pivotField showAll="0"/>
    <pivotField showAll="0"/>
    <pivotField showAll="0"/>
    <pivotField axis="axisRow" showAll="0">
      <items count="16">
        <item x="8"/>
        <item x="2"/>
        <item x="7"/>
        <item x="12"/>
        <item x="0"/>
        <item x="3"/>
        <item x="10"/>
        <item x="1"/>
        <item x="4"/>
        <item x="14"/>
        <item x="6"/>
        <item x="5"/>
        <item x="9"/>
        <item x="13"/>
        <item x="11"/>
        <item t="default"/>
      </items>
    </pivotField>
    <pivotField showAll="0"/>
    <pivotField showAll="0"/>
    <pivotField showAll="0"/>
    <pivotField showAll="0"/>
    <pivotField showAll="0">
      <items count="7">
        <item x="0"/>
        <item x="3"/>
        <item x="1"/>
        <item x="2"/>
        <item x="5"/>
        <item x="4"/>
        <item t="default"/>
      </items>
    </pivotField>
    <pivotField dataField="1" showAll="0"/>
    <pivotField showAll="0"/>
  </pivotFields>
  <rowFields count="1">
    <field x="12"/>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Total Enquiries" fld="0" subtotal="count" baseField="0" baseItem="0"/>
    <dataField name="Converted Enquiries" fld="18" baseField="0" baseItem="0"/>
  </dataFields>
  <formats count="3">
    <format dxfId="26">
      <pivotArea field="12" type="button" dataOnly="0" labelOnly="1" outline="0" axis="axisRow" fieldPosition="0"/>
    </format>
    <format dxfId="25">
      <pivotArea dataOnly="0" labelOnly="1" outline="0" fieldPosition="0">
        <references count="1">
          <reference field="4294967294" count="1">
            <x v="1"/>
          </reference>
        </references>
      </pivotArea>
    </format>
    <format dxfId="2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6AE812-F2FD-4276-932F-B8324397CA1F}" autoFormatId="16" applyNumberFormats="0" applyBorderFormats="0" applyFontFormats="0" applyPatternFormats="0" applyAlignmentFormats="0" applyWidthHeightFormats="0">
  <queryTableRefresh nextId="21">
    <queryTableFields count="20">
      <queryTableField id="1" name="enquiry_id" tableColumnId="1"/>
      <queryTableField id="2" name="enquiry_date" tableColumnId="2"/>
      <queryTableField id="17" dataBound="0" tableColumnId="17"/>
      <queryTableField id="18" dataBound="0" tableColumnId="18"/>
      <queryTableField id="19" dataBound="0" tableColumnId="19"/>
      <queryTableField id="3" name="student_name" tableColumnId="3"/>
      <queryTableField id="4" name="email" tableColumnId="4"/>
      <queryTableField id="5" name="phone" tableColumnId="5"/>
      <queryTableField id="6" name="city" tableColumnId="6"/>
      <queryTableField id="7" name="qualification" tableColumnId="7"/>
      <queryTableField id="8" name="age_group" tableColumnId="8"/>
      <queryTableField id="9" name="course_id" tableColumnId="9"/>
      <queryTableField id="10" name="course_name" tableColumnId="10"/>
      <queryTableField id="11" name="category" tableColumnId="11"/>
      <queryTableField id="12" name="learning_mode" tableColumnId="12"/>
      <queryTableField id="13" name="preferred_batch" tableColumnId="13"/>
      <queryTableField id="14" name="lead_source" tableColumnId="14"/>
      <queryTableField id="15" name="enquiry_status" tableColumnId="15"/>
      <queryTableField id="20" dataBound="0" tableColumnId="20"/>
      <queryTableField id="16" name="data_sourc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 xr10:uid="{C9766A8C-9A1C-4365-BE4D-51EBFDF0183F}" sourceName="course_name">
  <pivotTables>
    <pivotTable tabId="4" name="PT_Course_Demand"/>
    <pivotTable tabId="4" name="PT_Age_Group"/>
    <pivotTable tabId="4" name="PT_Category_Demand"/>
    <pivotTable tabId="4" name="PT_City_Distribution"/>
    <pivotTable tabId="4" name="PT_Course_Conversion"/>
    <pivotTable tabId="4" name="PT_Lead_Source"/>
    <pivotTable tabId="4" name="PT_Learning_Mode"/>
    <pivotTable tabId="4" name="PT_Monthly_Trend"/>
    <pivotTable tabId="4" name="PT_Preferred_Batch"/>
    <pivotTable tabId="4" name="PT_Qualification"/>
    <pivotTable tabId="4" name="PT_Status_Distribution"/>
  </pivotTables>
  <data>
    <tabular pivotCacheId="389604324">
      <items count="15">
        <i x="8" s="1"/>
        <i x="2" s="1"/>
        <i x="7" s="1"/>
        <i x="12" s="1"/>
        <i x="0" s="1"/>
        <i x="3" s="1"/>
        <i x="10" s="1"/>
        <i x="1" s="1"/>
        <i x="4" s="1"/>
        <i x="14" s="1"/>
        <i x="6" s="1"/>
        <i x="5" s="1"/>
        <i x="9" s="1"/>
        <i x="13"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quiry_Year" xr10:uid="{A785B819-C2F3-44BF-AA92-5BE563E7E846}" sourceName="Enquiry_Year">
  <pivotTables>
    <pivotTable tabId="4" name="PT_Monthly_Trend"/>
    <pivotTable tabId="4" name="PT_Age_Group"/>
    <pivotTable tabId="4" name="PT_Category_Demand"/>
    <pivotTable tabId="4" name="PT_City_Distribution"/>
    <pivotTable tabId="4" name="PT_Course_Conversion"/>
    <pivotTable tabId="4" name="PT_Course_Demand"/>
    <pivotTable tabId="4" name="PT_Lead_Source"/>
    <pivotTable tabId="4" name="PT_Learning_Mode"/>
    <pivotTable tabId="4" name="PT_Preferred_Batch"/>
    <pivotTable tabId="4" name="PT_Qualification"/>
    <pivotTable tabId="4" name="PT_Status_Distribution"/>
  </pivotTables>
  <data>
    <tabular pivotCacheId="38960432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quiry_status" xr10:uid="{C0628A8F-B6E2-4F51-A642-CA24472FEE9D}" sourceName="enquiry_status">
  <pivotTables>
    <pivotTable tabId="4" name="PT_Status_Distribution"/>
    <pivotTable tabId="4" name="PT_Age_Group"/>
    <pivotTable tabId="4" name="PT_Category_Demand"/>
    <pivotTable tabId="4" name="PT_City_Distribution"/>
    <pivotTable tabId="4" name="PT_Course_Conversion"/>
    <pivotTable tabId="4" name="PT_Course_Demand"/>
    <pivotTable tabId="4" name="PT_Lead_Source"/>
    <pivotTable tabId="4" name="PT_Learning_Mode"/>
    <pivotTable tabId="4" name="PT_Monthly_Trend"/>
    <pivotTable tabId="4" name="PT_Preferred_Batch"/>
    <pivotTable tabId="4" name="PT_Qualification"/>
  </pivotTables>
  <data>
    <tabular pivotCacheId="389604324">
      <items count="6">
        <i x="0" s="1"/>
        <i x="3" s="1"/>
        <i x="1" s="1"/>
        <i x="2"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_name" xr10:uid="{52493C88-73FB-4B81-8BD2-924949BA939A}" cache="Slicer_course_name" caption="Course Name" rowHeight="234950"/>
  <slicer name="Enquiry_Year" xr10:uid="{A32F31C9-A184-44CD-A6CE-81B11D320B38}" cache="Slicer_Enquiry_Year" caption="Enquiry Year" rowHeight="234950"/>
  <slicer name="enquiry_status" xr10:uid="{17919BD6-CB81-44A8-AFA2-D692A50A8D6F}" cache="Slicer_enquiry_status" caption="Enquiry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1C6EE1-3D60-4F10-889C-B3299F136453}" name="enquiry_analysis_data" displayName="enquiry_analysis_data" ref="A1:T504" tableType="queryTable" totalsRowShown="0" headerRowDxfId="46">
  <autoFilter ref="A1:T504" xr:uid="{541C6EE1-3D60-4F10-889C-B3299F136453}"/>
  <tableColumns count="20">
    <tableColumn id="1" xr3:uid="{64172B0C-A6FB-4C7F-9C0C-37DA91E2C1DD}" uniqueName="1" name="enquiry_id" queryTableFieldId="1"/>
    <tableColumn id="2" xr3:uid="{0E288620-8272-4BCA-A729-59897E4F9629}" uniqueName="2" name="enquiry_date" queryTableFieldId="2" dataDxfId="45"/>
    <tableColumn id="17" xr3:uid="{0D0C077D-D971-467B-81D2-1978BA3E5E60}" uniqueName="17" name="Enquiry_Month" queryTableFieldId="17" dataDxfId="44">
      <calculatedColumnFormula>TEXT(enquiry_analysis_data[[#This Row],[enquiry_date]],"mmmm-yyyy")</calculatedColumnFormula>
    </tableColumn>
    <tableColumn id="18" xr3:uid="{97426327-FF4E-499B-8818-00779EDE95B9}" uniqueName="18" name="Enquiry_Year" queryTableFieldId="18" dataDxfId="43">
      <calculatedColumnFormula>YEAR(enquiry_analysis_data[[#This Row],[enquiry_date]])</calculatedColumnFormula>
    </tableColumn>
    <tableColumn id="19" xr3:uid="{739C7B3F-CF6D-4F46-8254-36AC36DFB9EA}" uniqueName="19" name="Enquiry_Month_No" queryTableFieldId="19" dataDxfId="42">
      <calculatedColumnFormula>MONTH(enquiry_analysis_data[[#This Row],[enquiry_date]])</calculatedColumnFormula>
    </tableColumn>
    <tableColumn id="3" xr3:uid="{980DC085-D988-4862-BBFA-596AAC62831C}" uniqueName="3" name="student_name" queryTableFieldId="3" dataDxfId="41"/>
    <tableColumn id="4" xr3:uid="{0A8E4316-A386-47B2-835E-4B741BC893C7}" uniqueName="4" name="email" queryTableFieldId="4" dataDxfId="40"/>
    <tableColumn id="5" xr3:uid="{B44DAAB3-9E6C-4865-AF51-D2C586D94CD0}" uniqueName="5" name="phone" queryTableFieldId="5" dataDxfId="39"/>
    <tableColumn id="6" xr3:uid="{79870EBC-CC55-4BB4-B3D2-749D38156F07}" uniqueName="6" name="city" queryTableFieldId="6" dataDxfId="38"/>
    <tableColumn id="7" xr3:uid="{21B88467-431B-4CAC-9254-03BA0197DA90}" uniqueName="7" name="qualification" queryTableFieldId="7" dataDxfId="37"/>
    <tableColumn id="8" xr3:uid="{B956272E-D9DB-4D1D-8565-6AC0D6FD5D83}" uniqueName="8" name="age_group" queryTableFieldId="8" dataDxfId="36"/>
    <tableColumn id="9" xr3:uid="{892EDF85-C1AA-4976-9299-9AA9EA238095}" uniqueName="9" name="course_id" queryTableFieldId="9" dataDxfId="35"/>
    <tableColumn id="10" xr3:uid="{8B8E3451-8262-4A64-80D8-1005206BDBCF}" uniqueName="10" name="course_name" queryTableFieldId="10" dataDxfId="34"/>
    <tableColumn id="11" xr3:uid="{E42CC480-AD5A-4D57-A5D3-57DCACD465EA}" uniqueName="11" name="category" queryTableFieldId="11" dataDxfId="33"/>
    <tableColumn id="12" xr3:uid="{DE13212C-2838-488F-9199-1184C0445E4A}" uniqueName="12" name="learning_mode" queryTableFieldId="12" dataDxfId="32"/>
    <tableColumn id="13" xr3:uid="{BAD7361B-FF12-4456-A2D7-620CD47D7524}" uniqueName="13" name="preferred_batch" queryTableFieldId="13" dataDxfId="31"/>
    <tableColumn id="14" xr3:uid="{3207BE9E-0844-437B-8EA4-838574E404B4}" uniqueName="14" name="lead_source" queryTableFieldId="14" dataDxfId="30"/>
    <tableColumn id="15" xr3:uid="{2EE5D393-0033-44D8-A4E8-CA811296EA98}" uniqueName="15" name="enquiry_status" queryTableFieldId="15" dataDxfId="29"/>
    <tableColumn id="20" xr3:uid="{8303CB60-24D4-418E-98BD-2244DBBA8566}" uniqueName="20" name="Converted_Flag" queryTableFieldId="20" dataDxfId="28">
      <calculatedColumnFormula>IF(enquiry_analysis_data[[#This Row],[enquiry_status]]="Converted",1,0)</calculatedColumnFormula>
    </tableColumn>
    <tableColumn id="16" xr3:uid="{48EF590A-4B09-4A27-A8AC-8CC9979AEA9F}" uniqueName="16" name="data_source" queryTableFieldId="16"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3690EF-C546-44AB-B435-6F297D2624B1}" name="Table2" displayName="Table2" ref="A2:D18" totalsRowShown="0">
  <autoFilter ref="A2:D18" xr:uid="{D23690EF-C546-44AB-B435-6F297D2624B1}"/>
  <tableColumns count="4">
    <tableColumn id="1" xr3:uid="{589CDA30-DB8E-4E78-99DF-AC17C40E4B23}" name="Course Name"/>
    <tableColumn id="2" xr3:uid="{8D73A24A-0048-4675-A32C-7097DE6A4E95}" name="Total Enquiries"/>
    <tableColumn id="3" xr3:uid="{C945A193-9BF3-4A48-BEA0-1F22095BDACD}" name="Converted Enquiries"/>
    <tableColumn id="4" xr3:uid="{F13BC398-AC42-4025-8383-BD053F15C861}" name="Conversion Rate" dataDxfId="1" dataCellStyle="Percent"/>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F875E-B94C-4B5B-AC62-4C4CC894E394}">
  <sheetPr>
    <pageSetUpPr fitToPage="1"/>
  </sheetPr>
  <dimension ref="A1:R49"/>
  <sheetViews>
    <sheetView showGridLines="0" tabSelected="1" zoomScale="68" zoomScaleNormal="184" workbookViewId="0">
      <selection activeCell="X25" sqref="X25"/>
    </sheetView>
  </sheetViews>
  <sheetFormatPr defaultRowHeight="14.4" x14ac:dyDescent="0.3"/>
  <sheetData>
    <row r="1" spans="1:18" ht="14.4" customHeight="1" x14ac:dyDescent="0.3">
      <c r="A1" s="27" t="s">
        <v>973</v>
      </c>
      <c r="B1" s="27"/>
      <c r="C1" s="27"/>
      <c r="D1" s="27"/>
      <c r="E1" s="27"/>
      <c r="F1" s="27"/>
      <c r="G1" s="27"/>
      <c r="H1" s="27"/>
      <c r="I1" s="27"/>
      <c r="J1" s="27"/>
      <c r="K1" s="27"/>
      <c r="L1" s="27"/>
      <c r="M1" s="27"/>
      <c r="N1" s="27"/>
      <c r="O1" s="27"/>
      <c r="P1" s="27"/>
      <c r="Q1" s="27"/>
      <c r="R1" s="27"/>
    </row>
    <row r="2" spans="1:18" ht="14.4" customHeight="1" x14ac:dyDescent="0.3">
      <c r="A2" s="27"/>
      <c r="B2" s="27"/>
      <c r="C2" s="27"/>
      <c r="D2" s="27"/>
      <c r="E2" s="27"/>
      <c r="F2" s="27"/>
      <c r="G2" s="27"/>
      <c r="H2" s="27"/>
      <c r="I2" s="27"/>
      <c r="J2" s="27"/>
      <c r="K2" s="27"/>
      <c r="L2" s="27"/>
      <c r="M2" s="27"/>
      <c r="N2" s="27"/>
      <c r="O2" s="27"/>
      <c r="P2" s="27"/>
      <c r="Q2" s="27"/>
      <c r="R2" s="27"/>
    </row>
    <row r="3" spans="1:18" x14ac:dyDescent="0.3">
      <c r="A3" s="36" t="s">
        <v>930</v>
      </c>
      <c r="B3" s="37"/>
      <c r="C3" s="38"/>
      <c r="E3" s="36" t="s">
        <v>931</v>
      </c>
      <c r="F3" s="37"/>
      <c r="G3" s="38"/>
      <c r="I3" s="36" t="s">
        <v>932</v>
      </c>
      <c r="J3" s="37"/>
      <c r="K3" s="38"/>
      <c r="M3" s="36" t="s">
        <v>937</v>
      </c>
      <c r="N3" s="37"/>
      <c r="O3" s="38"/>
    </row>
    <row r="4" spans="1:18" x14ac:dyDescent="0.3">
      <c r="A4" s="30">
        <f>Pivot_Analysis!B19</f>
        <v>503</v>
      </c>
      <c r="B4" s="31"/>
      <c r="C4" s="32"/>
      <c r="E4" s="30">
        <f>Pivot_Analysis!AB19</f>
        <v>173</v>
      </c>
      <c r="F4" s="31"/>
      <c r="G4" s="32"/>
      <c r="I4" s="39">
        <f>IFERROR(E4/A4,0)</f>
        <v>0.34393638170974156</v>
      </c>
      <c r="J4" s="40"/>
      <c r="K4" s="41"/>
      <c r="M4" s="45">
        <f>GETPIVOTDATA("enquiry_id",Pivot_Analysis!$I$3,"enquiry_status","Lost")</f>
        <v>30</v>
      </c>
      <c r="N4" s="46"/>
      <c r="O4" s="47"/>
    </row>
    <row r="5" spans="1:18" x14ac:dyDescent="0.3">
      <c r="A5" s="30"/>
      <c r="B5" s="31"/>
      <c r="C5" s="32"/>
      <c r="E5" s="30"/>
      <c r="F5" s="31"/>
      <c r="G5" s="32"/>
      <c r="I5" s="39"/>
      <c r="J5" s="40"/>
      <c r="K5" s="41"/>
      <c r="M5" s="45"/>
      <c r="N5" s="46"/>
      <c r="O5" s="47"/>
    </row>
    <row r="6" spans="1:18" ht="14.4" customHeight="1" x14ac:dyDescent="0.3">
      <c r="A6" s="30"/>
      <c r="B6" s="31"/>
      <c r="C6" s="32"/>
      <c r="E6" s="30"/>
      <c r="F6" s="31"/>
      <c r="G6" s="32"/>
      <c r="I6" s="39"/>
      <c r="J6" s="40"/>
      <c r="K6" s="41"/>
      <c r="M6" s="45"/>
      <c r="N6" s="46"/>
      <c r="O6" s="47"/>
    </row>
    <row r="7" spans="1:18" ht="14.4" customHeight="1" x14ac:dyDescent="0.3">
      <c r="A7" s="33"/>
      <c r="B7" s="34"/>
      <c r="C7" s="35"/>
      <c r="E7" s="33"/>
      <c r="F7" s="34"/>
      <c r="G7" s="35"/>
      <c r="I7" s="42"/>
      <c r="J7" s="43"/>
      <c r="K7" s="44"/>
      <c r="M7" s="48"/>
      <c r="N7" s="49"/>
      <c r="O7" s="50"/>
    </row>
    <row r="8" spans="1:18" ht="14.4" customHeight="1" x14ac:dyDescent="0.3">
      <c r="F8" s="24"/>
    </row>
    <row r="49" spans="1:18" x14ac:dyDescent="0.3">
      <c r="A49" s="28" t="s">
        <v>974</v>
      </c>
      <c r="B49" s="29"/>
      <c r="C49" s="29"/>
      <c r="D49" s="29"/>
      <c r="E49" s="29"/>
      <c r="F49" s="29"/>
      <c r="G49" s="29"/>
      <c r="H49" s="29"/>
      <c r="I49" s="29"/>
      <c r="J49" s="29"/>
      <c r="K49" s="29"/>
      <c r="L49" s="29"/>
      <c r="M49" s="29"/>
      <c r="N49" s="29"/>
      <c r="O49" s="29"/>
      <c r="P49" s="29"/>
      <c r="Q49" s="29"/>
      <c r="R49" s="29"/>
    </row>
  </sheetData>
  <mergeCells count="10">
    <mergeCell ref="A1:R2"/>
    <mergeCell ref="A49:R49"/>
    <mergeCell ref="A4:C7"/>
    <mergeCell ref="A3:C3"/>
    <mergeCell ref="E3:G3"/>
    <mergeCell ref="E4:G7"/>
    <mergeCell ref="I3:K3"/>
    <mergeCell ref="I4:K7"/>
    <mergeCell ref="M3:O3"/>
    <mergeCell ref="M4:O7"/>
  </mergeCells>
  <pageMargins left="0.7" right="0.7" top="0.75" bottom="0.75" header="0.3" footer="0.3"/>
  <pageSetup scale="7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38FEC-C669-490C-A377-982CF4B7407C}">
  <dimension ref="A1:F12"/>
  <sheetViews>
    <sheetView workbookViewId="0">
      <selection activeCell="M16" sqref="M16"/>
    </sheetView>
  </sheetViews>
  <sheetFormatPr defaultRowHeight="14.4" x14ac:dyDescent="0.3"/>
  <cols>
    <col min="1" max="1" width="30.77734375" customWidth="1"/>
    <col min="2" max="2" width="18.77734375" customWidth="1"/>
  </cols>
  <sheetData>
    <row r="1" spans="1:6" ht="18" x14ac:dyDescent="0.3">
      <c r="A1" s="51" t="s">
        <v>971</v>
      </c>
      <c r="B1" s="52"/>
      <c r="C1" s="52"/>
      <c r="D1" s="52"/>
      <c r="E1" s="52"/>
      <c r="F1" s="52"/>
    </row>
    <row r="3" spans="1:6" ht="24" customHeight="1" x14ac:dyDescent="0.3">
      <c r="A3" s="9" t="s">
        <v>930</v>
      </c>
      <c r="B3" s="10">
        <f>COUNTA(Enquiry_Data!A:A)-1</f>
        <v>503</v>
      </c>
    </row>
    <row r="4" spans="1:6" ht="24" customHeight="1" x14ac:dyDescent="0.3">
      <c r="A4" s="11" t="s">
        <v>931</v>
      </c>
      <c r="B4" s="12">
        <f>COUNTIF(Enquiry_Data!R:R,"Converted")</f>
        <v>173</v>
      </c>
    </row>
    <row r="5" spans="1:6" ht="24" customHeight="1" x14ac:dyDescent="0.3">
      <c r="A5" s="11" t="s">
        <v>932</v>
      </c>
      <c r="B5" s="13">
        <f>B4/B3</f>
        <v>0.34393638170974156</v>
      </c>
    </row>
    <row r="6" spans="1:6" ht="24" customHeight="1" x14ac:dyDescent="0.3">
      <c r="A6" s="11" t="s">
        <v>933</v>
      </c>
      <c r="B6" s="12">
        <f>COUNTIF(Enquiry_Data!R:R,"New")</f>
        <v>60</v>
      </c>
    </row>
    <row r="7" spans="1:6" ht="24" customHeight="1" x14ac:dyDescent="0.3">
      <c r="A7" s="11" t="s">
        <v>934</v>
      </c>
      <c r="B7" s="12">
        <f>COUNTIF(Enquiry_Data!R:R,"Interested")</f>
        <v>90</v>
      </c>
    </row>
    <row r="8" spans="1:6" ht="24" customHeight="1" x14ac:dyDescent="0.3">
      <c r="A8" s="11" t="s">
        <v>935</v>
      </c>
      <c r="B8" s="12">
        <f>COUNTIF(Enquiry_Data!R:R,"Follow-up")</f>
        <v>80</v>
      </c>
    </row>
    <row r="9" spans="1:6" ht="24" customHeight="1" x14ac:dyDescent="0.3">
      <c r="A9" s="11" t="s">
        <v>936</v>
      </c>
      <c r="B9" s="12">
        <f>COUNTIF(Enquiry_Data!R:R,"Contacted")</f>
        <v>70</v>
      </c>
    </row>
    <row r="10" spans="1:6" ht="24" customHeight="1" x14ac:dyDescent="0.3">
      <c r="A10" s="11" t="s">
        <v>937</v>
      </c>
      <c r="B10" s="12">
        <f>COUNTIF(Enquiry_Data!R:R,"Lost")</f>
        <v>30</v>
      </c>
    </row>
    <row r="11" spans="1:6" ht="24" customHeight="1" x14ac:dyDescent="0.3">
      <c r="A11" s="14" t="s">
        <v>938</v>
      </c>
      <c r="B11" s="15">
        <f>COUNTIF(Enquiry_Data!T:T,"Live")</f>
        <v>3</v>
      </c>
    </row>
    <row r="12" spans="1:6" ht="24" customHeight="1" x14ac:dyDescent="0.3">
      <c r="A12" s="16" t="s">
        <v>939</v>
      </c>
      <c r="B12" s="17">
        <f>COUNTIF(Enquiry_Data!T:T,"Synthetic")</f>
        <v>500</v>
      </c>
    </row>
  </sheetData>
  <mergeCells count="1">
    <mergeCell ref="A1:F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E495B-8E96-4F09-95BB-4E280C54C2DC}">
  <dimension ref="A1:T504"/>
  <sheetViews>
    <sheetView workbookViewId="0">
      <pane ySplit="1" topLeftCell="A334" activePane="bottomLeft" state="frozen"/>
      <selection activeCell="L1" sqref="L1"/>
      <selection pane="bottomLeft" activeCell="E357" sqref="E357"/>
    </sheetView>
  </sheetViews>
  <sheetFormatPr defaultRowHeight="14.4" x14ac:dyDescent="0.3"/>
  <cols>
    <col min="1" max="1" width="14.44140625" bestFit="1" customWidth="1"/>
    <col min="2" max="2" width="16.6640625" bestFit="1" customWidth="1"/>
    <col min="3" max="3" width="18.77734375" bestFit="1" customWidth="1"/>
    <col min="4" max="4" width="16.5546875" bestFit="1" customWidth="1"/>
    <col min="5" max="5" width="22.33203125" bestFit="1" customWidth="1"/>
    <col min="6" max="6" width="17.77734375" bestFit="1" customWidth="1"/>
    <col min="7" max="7" width="43.44140625" bestFit="1" customWidth="1"/>
    <col min="8" max="8" width="11" style="2" bestFit="1" customWidth="1"/>
    <col min="9" max="9" width="11.33203125" bestFit="1" customWidth="1"/>
    <col min="10" max="10" width="15.88671875" bestFit="1" customWidth="1"/>
    <col min="11" max="11" width="14.44140625" bestFit="1" customWidth="1"/>
    <col min="12" max="12" width="13.5546875" bestFit="1" customWidth="1"/>
    <col min="13" max="13" width="28.5546875" bestFit="1" customWidth="1"/>
    <col min="14" max="14" width="19.6640625" bestFit="1" customWidth="1"/>
    <col min="15" max="15" width="18.21875" bestFit="1" customWidth="1"/>
    <col min="16" max="16" width="19.21875" bestFit="1" customWidth="1"/>
    <col min="17" max="17" width="15.5546875" bestFit="1" customWidth="1"/>
    <col min="18" max="18" width="18" bestFit="1" customWidth="1"/>
    <col min="19" max="19" width="18.6640625" bestFit="1" customWidth="1"/>
    <col min="20" max="20" width="15.77734375" bestFit="1" customWidth="1"/>
  </cols>
  <sheetData>
    <row r="1" spans="1:20" s="20" customFormat="1" ht="30" customHeight="1" x14ac:dyDescent="0.3">
      <c r="A1" s="18" t="s">
        <v>0</v>
      </c>
      <c r="B1" s="18" t="s">
        <v>1</v>
      </c>
      <c r="C1" s="18" t="s">
        <v>926</v>
      </c>
      <c r="D1" s="18" t="s">
        <v>927</v>
      </c>
      <c r="E1" s="18" t="s">
        <v>928</v>
      </c>
      <c r="F1" s="18" t="s">
        <v>2</v>
      </c>
      <c r="G1" s="18" t="s">
        <v>3</v>
      </c>
      <c r="H1" s="19" t="s">
        <v>4</v>
      </c>
      <c r="I1" s="18" t="s">
        <v>5</v>
      </c>
      <c r="J1" s="18" t="s">
        <v>6</v>
      </c>
      <c r="K1" s="18" t="s">
        <v>7</v>
      </c>
      <c r="L1" s="18" t="s">
        <v>8</v>
      </c>
      <c r="M1" s="18" t="s">
        <v>9</v>
      </c>
      <c r="N1" s="18" t="s">
        <v>10</v>
      </c>
      <c r="O1" s="18" t="s">
        <v>11</v>
      </c>
      <c r="P1" s="18" t="s">
        <v>12</v>
      </c>
      <c r="Q1" s="18" t="s">
        <v>13</v>
      </c>
      <c r="R1" s="18" t="s">
        <v>14</v>
      </c>
      <c r="S1" s="18" t="s">
        <v>929</v>
      </c>
      <c r="T1" s="18" t="s">
        <v>15</v>
      </c>
    </row>
    <row r="2" spans="1:20" x14ac:dyDescent="0.3">
      <c r="A2">
        <v>429</v>
      </c>
      <c r="B2" s="1">
        <v>45658.44672453704</v>
      </c>
      <c r="C2" s="1" t="str">
        <f>TEXT(enquiry_analysis_data[[#This Row],[enquiry_date]],"mmmm-yyyy")</f>
        <v>January-2025</v>
      </c>
      <c r="D2">
        <f>YEAR(enquiry_analysis_data[[#This Row],[enquiry_date]])</f>
        <v>2025</v>
      </c>
      <c r="E2">
        <f>MONTH(enquiry_analysis_data[[#This Row],[enquiry_date]])</f>
        <v>1</v>
      </c>
      <c r="F2" t="s">
        <v>16</v>
      </c>
      <c r="G2" t="s">
        <v>17</v>
      </c>
      <c r="H2" s="2">
        <v>9000000426</v>
      </c>
      <c r="I2" t="s">
        <v>18</v>
      </c>
      <c r="J2" t="s">
        <v>19</v>
      </c>
      <c r="K2" t="s">
        <v>20</v>
      </c>
      <c r="L2" t="s">
        <v>21</v>
      </c>
      <c r="M2" t="s">
        <v>22</v>
      </c>
      <c r="N2" t="s">
        <v>23</v>
      </c>
      <c r="O2" t="s">
        <v>24</v>
      </c>
      <c r="P2" t="s">
        <v>25</v>
      </c>
      <c r="Q2" t="s">
        <v>26</v>
      </c>
      <c r="R2" t="s">
        <v>27</v>
      </c>
      <c r="S2">
        <f>IF(enquiry_analysis_data[[#This Row],[enquiry_status]]="Converted",1,0)</f>
        <v>0</v>
      </c>
      <c r="T2" t="s">
        <v>28</v>
      </c>
    </row>
    <row r="3" spans="1:20" x14ac:dyDescent="0.3">
      <c r="A3">
        <v>456</v>
      </c>
      <c r="B3" s="1">
        <v>45658.526944444442</v>
      </c>
      <c r="C3" s="1" t="str">
        <f>TEXT(enquiry_analysis_data[[#This Row],[enquiry_date]],"mmmm-yyyy")</f>
        <v>January-2025</v>
      </c>
      <c r="D3">
        <f>YEAR(enquiry_analysis_data[[#This Row],[enquiry_date]])</f>
        <v>2025</v>
      </c>
      <c r="E3">
        <f>MONTH(enquiry_analysis_data[[#This Row],[enquiry_date]])</f>
        <v>1</v>
      </c>
      <c r="F3" t="s">
        <v>29</v>
      </c>
      <c r="G3" t="s">
        <v>30</v>
      </c>
      <c r="H3" s="2">
        <v>9000000453</v>
      </c>
      <c r="I3" t="s">
        <v>31</v>
      </c>
      <c r="J3" t="s">
        <v>32</v>
      </c>
      <c r="K3" t="s">
        <v>33</v>
      </c>
      <c r="L3" t="s">
        <v>34</v>
      </c>
      <c r="M3" t="s">
        <v>35</v>
      </c>
      <c r="N3" t="s">
        <v>35</v>
      </c>
      <c r="O3" t="s">
        <v>24</v>
      </c>
      <c r="P3" t="s">
        <v>36</v>
      </c>
      <c r="Q3" t="s">
        <v>37</v>
      </c>
      <c r="R3" t="s">
        <v>27</v>
      </c>
      <c r="S3">
        <f>IF(enquiry_analysis_data[[#This Row],[enquiry_status]]="Converted",1,0)</f>
        <v>0</v>
      </c>
      <c r="T3" t="s">
        <v>28</v>
      </c>
    </row>
    <row r="4" spans="1:20" x14ac:dyDescent="0.3">
      <c r="A4">
        <v>175</v>
      </c>
      <c r="B4" s="1">
        <v>45661.072777777779</v>
      </c>
      <c r="C4" s="1" t="str">
        <f>TEXT(enquiry_analysis_data[[#This Row],[enquiry_date]],"mmmm-yyyy")</f>
        <v>January-2025</v>
      </c>
      <c r="D4">
        <f>YEAR(enquiry_analysis_data[[#This Row],[enquiry_date]])</f>
        <v>2025</v>
      </c>
      <c r="E4">
        <f>MONTH(enquiry_analysis_data[[#This Row],[enquiry_date]])</f>
        <v>1</v>
      </c>
      <c r="F4" t="s">
        <v>38</v>
      </c>
      <c r="G4" t="s">
        <v>39</v>
      </c>
      <c r="H4" s="2">
        <v>9000000172</v>
      </c>
      <c r="I4" t="s">
        <v>31</v>
      </c>
      <c r="J4" t="s">
        <v>19</v>
      </c>
      <c r="K4" t="s">
        <v>20</v>
      </c>
      <c r="L4" t="s">
        <v>40</v>
      </c>
      <c r="M4" t="s">
        <v>41</v>
      </c>
      <c r="N4" t="s">
        <v>41</v>
      </c>
      <c r="O4" t="s">
        <v>42</v>
      </c>
      <c r="P4" t="s">
        <v>43</v>
      </c>
      <c r="Q4" t="s">
        <v>44</v>
      </c>
      <c r="R4" t="s">
        <v>45</v>
      </c>
      <c r="S4">
        <f>IF(enquiry_analysis_data[[#This Row],[enquiry_status]]="Converted",1,0)</f>
        <v>0</v>
      </c>
      <c r="T4" t="s">
        <v>28</v>
      </c>
    </row>
    <row r="5" spans="1:20" x14ac:dyDescent="0.3">
      <c r="A5">
        <v>202</v>
      </c>
      <c r="B5" s="1">
        <v>45662.410243055558</v>
      </c>
      <c r="C5" s="1" t="str">
        <f>TEXT(enquiry_analysis_data[[#This Row],[enquiry_date]],"mmmm-yyyy")</f>
        <v>January-2025</v>
      </c>
      <c r="D5">
        <f>YEAR(enquiry_analysis_data[[#This Row],[enquiry_date]])</f>
        <v>2025</v>
      </c>
      <c r="E5">
        <f>MONTH(enquiry_analysis_data[[#This Row],[enquiry_date]])</f>
        <v>1</v>
      </c>
      <c r="F5" t="s">
        <v>46</v>
      </c>
      <c r="G5" t="s">
        <v>47</v>
      </c>
      <c r="H5" s="2">
        <v>9000000199</v>
      </c>
      <c r="I5" t="s">
        <v>48</v>
      </c>
      <c r="J5" t="s">
        <v>49</v>
      </c>
      <c r="K5" t="s">
        <v>20</v>
      </c>
      <c r="L5" t="s">
        <v>50</v>
      </c>
      <c r="M5" t="s">
        <v>51</v>
      </c>
      <c r="N5" t="s">
        <v>23</v>
      </c>
      <c r="O5" t="s">
        <v>42</v>
      </c>
      <c r="P5" t="s">
        <v>52</v>
      </c>
      <c r="Q5" t="s">
        <v>53</v>
      </c>
      <c r="R5" t="s">
        <v>45</v>
      </c>
      <c r="S5">
        <f>IF(enquiry_analysis_data[[#This Row],[enquiry_status]]="Converted",1,0)</f>
        <v>0</v>
      </c>
      <c r="T5" t="s">
        <v>28</v>
      </c>
    </row>
    <row r="6" spans="1:20" x14ac:dyDescent="0.3">
      <c r="A6">
        <v>165</v>
      </c>
      <c r="B6" s="1">
        <v>45663.680104166669</v>
      </c>
      <c r="C6" s="1" t="str">
        <f>TEXT(enquiry_analysis_data[[#This Row],[enquiry_date]],"mmmm-yyyy")</f>
        <v>January-2025</v>
      </c>
      <c r="D6">
        <f>YEAR(enquiry_analysis_data[[#This Row],[enquiry_date]])</f>
        <v>2025</v>
      </c>
      <c r="E6">
        <f>MONTH(enquiry_analysis_data[[#This Row],[enquiry_date]])</f>
        <v>1</v>
      </c>
      <c r="F6" t="s">
        <v>54</v>
      </c>
      <c r="G6" t="s">
        <v>55</v>
      </c>
      <c r="H6" s="2">
        <v>9000000162</v>
      </c>
      <c r="I6" t="s">
        <v>48</v>
      </c>
      <c r="J6" t="s">
        <v>49</v>
      </c>
      <c r="K6" t="s">
        <v>20</v>
      </c>
      <c r="L6" t="s">
        <v>40</v>
      </c>
      <c r="M6" t="s">
        <v>41</v>
      </c>
      <c r="N6" t="s">
        <v>41</v>
      </c>
      <c r="O6" t="s">
        <v>42</v>
      </c>
      <c r="P6" t="s">
        <v>25</v>
      </c>
      <c r="Q6" t="s">
        <v>37</v>
      </c>
      <c r="R6" t="s">
        <v>56</v>
      </c>
      <c r="S6">
        <f>IF(enquiry_analysis_data[[#This Row],[enquiry_status]]="Converted",1,0)</f>
        <v>0</v>
      </c>
      <c r="T6" t="s">
        <v>28</v>
      </c>
    </row>
    <row r="7" spans="1:20" x14ac:dyDescent="0.3">
      <c r="A7">
        <v>62</v>
      </c>
      <c r="B7" s="1">
        <v>45664.664872685185</v>
      </c>
      <c r="C7" s="1" t="str">
        <f>TEXT(enquiry_analysis_data[[#This Row],[enquiry_date]],"mmmm-yyyy")</f>
        <v>January-2025</v>
      </c>
      <c r="D7">
        <f>YEAR(enquiry_analysis_data[[#This Row],[enquiry_date]])</f>
        <v>2025</v>
      </c>
      <c r="E7">
        <f>MONTH(enquiry_analysis_data[[#This Row],[enquiry_date]])</f>
        <v>1</v>
      </c>
      <c r="F7" t="s">
        <v>57</v>
      </c>
      <c r="G7" t="s">
        <v>58</v>
      </c>
      <c r="H7" s="2">
        <v>9000000059</v>
      </c>
      <c r="I7" t="s">
        <v>59</v>
      </c>
      <c r="J7" t="s">
        <v>32</v>
      </c>
      <c r="K7" t="s">
        <v>33</v>
      </c>
      <c r="L7" t="s">
        <v>60</v>
      </c>
      <c r="M7" t="s">
        <v>61</v>
      </c>
      <c r="N7" t="s">
        <v>62</v>
      </c>
      <c r="O7" t="s">
        <v>24</v>
      </c>
      <c r="P7" t="s">
        <v>43</v>
      </c>
      <c r="Q7" t="s">
        <v>63</v>
      </c>
      <c r="R7" t="s">
        <v>27</v>
      </c>
      <c r="S7">
        <f>IF(enquiry_analysis_data[[#This Row],[enquiry_status]]="Converted",1,0)</f>
        <v>0</v>
      </c>
      <c r="T7" t="s">
        <v>28</v>
      </c>
    </row>
    <row r="8" spans="1:20" x14ac:dyDescent="0.3">
      <c r="A8">
        <v>500</v>
      </c>
      <c r="B8" s="1">
        <v>45667.149837962963</v>
      </c>
      <c r="C8" s="1" t="str">
        <f>TEXT(enquiry_analysis_data[[#This Row],[enquiry_date]],"mmmm-yyyy")</f>
        <v>January-2025</v>
      </c>
      <c r="D8">
        <f>YEAR(enquiry_analysis_data[[#This Row],[enquiry_date]])</f>
        <v>2025</v>
      </c>
      <c r="E8">
        <f>MONTH(enquiry_analysis_data[[#This Row],[enquiry_date]])</f>
        <v>1</v>
      </c>
      <c r="F8" t="s">
        <v>64</v>
      </c>
      <c r="G8" t="s">
        <v>65</v>
      </c>
      <c r="H8" s="2">
        <v>9000000497</v>
      </c>
      <c r="I8" t="s">
        <v>66</v>
      </c>
      <c r="J8" t="s">
        <v>32</v>
      </c>
      <c r="K8" t="s">
        <v>67</v>
      </c>
      <c r="L8" t="s">
        <v>40</v>
      </c>
      <c r="M8" t="s">
        <v>41</v>
      </c>
      <c r="N8" t="s">
        <v>41</v>
      </c>
      <c r="O8" t="s">
        <v>42</v>
      </c>
      <c r="P8" t="s">
        <v>52</v>
      </c>
      <c r="Q8" t="s">
        <v>26</v>
      </c>
      <c r="R8" t="s">
        <v>68</v>
      </c>
      <c r="S8">
        <f>IF(enquiry_analysis_data[[#This Row],[enquiry_status]]="Converted",1,0)</f>
        <v>1</v>
      </c>
      <c r="T8" t="s">
        <v>28</v>
      </c>
    </row>
    <row r="9" spans="1:20" x14ac:dyDescent="0.3">
      <c r="A9">
        <v>461</v>
      </c>
      <c r="B9" s="1">
        <v>45667.256342592591</v>
      </c>
      <c r="C9" s="1" t="str">
        <f>TEXT(enquiry_analysis_data[[#This Row],[enquiry_date]],"mmmm-yyyy")</f>
        <v>January-2025</v>
      </c>
      <c r="D9">
        <f>YEAR(enquiry_analysis_data[[#This Row],[enquiry_date]])</f>
        <v>2025</v>
      </c>
      <c r="E9">
        <f>MONTH(enquiry_analysis_data[[#This Row],[enquiry_date]])</f>
        <v>1</v>
      </c>
      <c r="F9" t="s">
        <v>69</v>
      </c>
      <c r="G9" t="s">
        <v>70</v>
      </c>
      <c r="H9" s="2">
        <v>9000000458</v>
      </c>
      <c r="I9" t="s">
        <v>71</v>
      </c>
      <c r="J9" t="s">
        <v>49</v>
      </c>
      <c r="K9" t="s">
        <v>33</v>
      </c>
      <c r="L9" t="s">
        <v>72</v>
      </c>
      <c r="M9" t="s">
        <v>73</v>
      </c>
      <c r="N9" t="s">
        <v>74</v>
      </c>
      <c r="O9" t="s">
        <v>24</v>
      </c>
      <c r="P9" t="s">
        <v>25</v>
      </c>
      <c r="Q9" t="s">
        <v>44</v>
      </c>
      <c r="R9" t="s">
        <v>68</v>
      </c>
      <c r="S9">
        <f>IF(enquiry_analysis_data[[#This Row],[enquiry_status]]="Converted",1,0)</f>
        <v>1</v>
      </c>
      <c r="T9" t="s">
        <v>28</v>
      </c>
    </row>
    <row r="10" spans="1:20" x14ac:dyDescent="0.3">
      <c r="A10">
        <v>75</v>
      </c>
      <c r="B10" s="1">
        <v>45669.917349537034</v>
      </c>
      <c r="C10" s="1" t="str">
        <f>TEXT(enquiry_analysis_data[[#This Row],[enquiry_date]],"mmmm-yyyy")</f>
        <v>January-2025</v>
      </c>
      <c r="D10">
        <f>YEAR(enquiry_analysis_data[[#This Row],[enquiry_date]])</f>
        <v>2025</v>
      </c>
      <c r="E10">
        <f>MONTH(enquiry_analysis_data[[#This Row],[enquiry_date]])</f>
        <v>1</v>
      </c>
      <c r="F10" t="s">
        <v>75</v>
      </c>
      <c r="G10" t="s">
        <v>76</v>
      </c>
      <c r="H10" s="2">
        <v>9000000072</v>
      </c>
      <c r="I10" t="s">
        <v>77</v>
      </c>
      <c r="J10" t="s">
        <v>32</v>
      </c>
      <c r="K10" t="s">
        <v>67</v>
      </c>
      <c r="L10" t="s">
        <v>78</v>
      </c>
      <c r="M10" t="s">
        <v>79</v>
      </c>
      <c r="N10" t="s">
        <v>80</v>
      </c>
      <c r="O10" t="s">
        <v>24</v>
      </c>
      <c r="P10" t="s">
        <v>25</v>
      </c>
      <c r="Q10" t="s">
        <v>53</v>
      </c>
      <c r="R10" t="s">
        <v>68</v>
      </c>
      <c r="S10">
        <f>IF(enquiry_analysis_data[[#This Row],[enquiry_status]]="Converted",1,0)</f>
        <v>1</v>
      </c>
      <c r="T10" t="s">
        <v>28</v>
      </c>
    </row>
    <row r="11" spans="1:20" x14ac:dyDescent="0.3">
      <c r="A11">
        <v>10</v>
      </c>
      <c r="B11" s="1">
        <v>45677.346759259257</v>
      </c>
      <c r="C11" s="1" t="str">
        <f>TEXT(enquiry_analysis_data[[#This Row],[enquiry_date]],"mmmm-yyyy")</f>
        <v>January-2025</v>
      </c>
      <c r="D11">
        <f>YEAR(enquiry_analysis_data[[#This Row],[enquiry_date]])</f>
        <v>2025</v>
      </c>
      <c r="E11">
        <f>MONTH(enquiry_analysis_data[[#This Row],[enquiry_date]])</f>
        <v>1</v>
      </c>
      <c r="F11" t="s">
        <v>81</v>
      </c>
      <c r="G11" t="s">
        <v>82</v>
      </c>
      <c r="H11" s="2">
        <v>9000000007</v>
      </c>
      <c r="I11" t="s">
        <v>31</v>
      </c>
      <c r="J11" t="s">
        <v>19</v>
      </c>
      <c r="K11" t="s">
        <v>67</v>
      </c>
      <c r="L11" t="s">
        <v>78</v>
      </c>
      <c r="M11" t="s">
        <v>79</v>
      </c>
      <c r="N11" t="s">
        <v>80</v>
      </c>
      <c r="O11" t="s">
        <v>42</v>
      </c>
      <c r="P11" t="s">
        <v>52</v>
      </c>
      <c r="Q11" t="s">
        <v>83</v>
      </c>
      <c r="R11" t="s">
        <v>68</v>
      </c>
      <c r="S11">
        <f>IF(enquiry_analysis_data[[#This Row],[enquiry_status]]="Converted",1,0)</f>
        <v>1</v>
      </c>
      <c r="T11" t="s">
        <v>28</v>
      </c>
    </row>
    <row r="12" spans="1:20" x14ac:dyDescent="0.3">
      <c r="A12">
        <v>363</v>
      </c>
      <c r="B12" s="1">
        <v>45677.564502314817</v>
      </c>
      <c r="C12" s="1" t="str">
        <f>TEXT(enquiry_analysis_data[[#This Row],[enquiry_date]],"mmmm-yyyy")</f>
        <v>January-2025</v>
      </c>
      <c r="D12">
        <f>YEAR(enquiry_analysis_data[[#This Row],[enquiry_date]])</f>
        <v>2025</v>
      </c>
      <c r="E12">
        <f>MONTH(enquiry_analysis_data[[#This Row],[enquiry_date]])</f>
        <v>1</v>
      </c>
      <c r="F12" t="s">
        <v>84</v>
      </c>
      <c r="G12" t="s">
        <v>85</v>
      </c>
      <c r="H12" s="2">
        <v>9000000360</v>
      </c>
      <c r="I12" t="s">
        <v>18</v>
      </c>
      <c r="J12" t="s">
        <v>32</v>
      </c>
      <c r="K12" t="s">
        <v>33</v>
      </c>
      <c r="L12" t="s">
        <v>60</v>
      </c>
      <c r="M12" t="s">
        <v>61</v>
      </c>
      <c r="N12" t="s">
        <v>62</v>
      </c>
      <c r="O12" t="s">
        <v>42</v>
      </c>
      <c r="P12" t="s">
        <v>43</v>
      </c>
      <c r="Q12" t="s">
        <v>83</v>
      </c>
      <c r="R12" t="s">
        <v>56</v>
      </c>
      <c r="S12">
        <f>IF(enquiry_analysis_data[[#This Row],[enquiry_status]]="Converted",1,0)</f>
        <v>0</v>
      </c>
      <c r="T12" t="s">
        <v>28</v>
      </c>
    </row>
    <row r="13" spans="1:20" x14ac:dyDescent="0.3">
      <c r="A13">
        <v>43</v>
      </c>
      <c r="B13" s="1">
        <v>45678.464849537035</v>
      </c>
      <c r="C13" s="1" t="str">
        <f>TEXT(enquiry_analysis_data[[#This Row],[enquiry_date]],"mmmm-yyyy")</f>
        <v>January-2025</v>
      </c>
      <c r="D13">
        <f>YEAR(enquiry_analysis_data[[#This Row],[enquiry_date]])</f>
        <v>2025</v>
      </c>
      <c r="E13">
        <f>MONTH(enquiry_analysis_data[[#This Row],[enquiry_date]])</f>
        <v>1</v>
      </c>
      <c r="F13" t="s">
        <v>86</v>
      </c>
      <c r="G13" t="s">
        <v>87</v>
      </c>
      <c r="H13" s="2">
        <v>9000000040</v>
      </c>
      <c r="I13" t="s">
        <v>88</v>
      </c>
      <c r="J13" t="s">
        <v>49</v>
      </c>
      <c r="K13" t="s">
        <v>20</v>
      </c>
      <c r="L13" t="s">
        <v>60</v>
      </c>
      <c r="M13" t="s">
        <v>61</v>
      </c>
      <c r="N13" t="s">
        <v>62</v>
      </c>
      <c r="O13" t="s">
        <v>24</v>
      </c>
      <c r="P13" t="s">
        <v>25</v>
      </c>
      <c r="Q13" t="s">
        <v>44</v>
      </c>
      <c r="R13" t="s">
        <v>45</v>
      </c>
      <c r="S13">
        <f>IF(enquiry_analysis_data[[#This Row],[enquiry_status]]="Converted",1,0)</f>
        <v>0</v>
      </c>
      <c r="T13" t="s">
        <v>28</v>
      </c>
    </row>
    <row r="14" spans="1:20" x14ac:dyDescent="0.3">
      <c r="A14">
        <v>219</v>
      </c>
      <c r="B14" s="1">
        <v>45681.049305555556</v>
      </c>
      <c r="C14" s="1" t="str">
        <f>TEXT(enquiry_analysis_data[[#This Row],[enquiry_date]],"mmmm-yyyy")</f>
        <v>January-2025</v>
      </c>
      <c r="D14">
        <f>YEAR(enquiry_analysis_data[[#This Row],[enquiry_date]])</f>
        <v>2025</v>
      </c>
      <c r="E14">
        <f>MONTH(enquiry_analysis_data[[#This Row],[enquiry_date]])</f>
        <v>1</v>
      </c>
      <c r="F14" t="s">
        <v>89</v>
      </c>
      <c r="G14" t="s">
        <v>90</v>
      </c>
      <c r="H14" s="2">
        <v>9000000216</v>
      </c>
      <c r="I14" t="s">
        <v>59</v>
      </c>
      <c r="J14" t="s">
        <v>32</v>
      </c>
      <c r="K14" t="s">
        <v>33</v>
      </c>
      <c r="L14" t="s">
        <v>34</v>
      </c>
      <c r="M14" t="s">
        <v>35</v>
      </c>
      <c r="N14" t="s">
        <v>35</v>
      </c>
      <c r="O14" t="s">
        <v>42</v>
      </c>
      <c r="P14" t="s">
        <v>43</v>
      </c>
      <c r="Q14" t="s">
        <v>26</v>
      </c>
      <c r="R14" t="s">
        <v>68</v>
      </c>
      <c r="S14">
        <f>IF(enquiry_analysis_data[[#This Row],[enquiry_status]]="Converted",1,0)</f>
        <v>1</v>
      </c>
      <c r="T14" t="s">
        <v>28</v>
      </c>
    </row>
    <row r="15" spans="1:20" x14ac:dyDescent="0.3">
      <c r="A15">
        <v>283</v>
      </c>
      <c r="B15" s="1">
        <v>45683.527418981481</v>
      </c>
      <c r="C15" s="1" t="str">
        <f>TEXT(enquiry_analysis_data[[#This Row],[enquiry_date]],"mmmm-yyyy")</f>
        <v>January-2025</v>
      </c>
      <c r="D15">
        <f>YEAR(enquiry_analysis_data[[#This Row],[enquiry_date]])</f>
        <v>2025</v>
      </c>
      <c r="E15">
        <f>MONTH(enquiry_analysis_data[[#This Row],[enquiry_date]])</f>
        <v>1</v>
      </c>
      <c r="F15" t="s">
        <v>91</v>
      </c>
      <c r="G15" t="s">
        <v>92</v>
      </c>
      <c r="H15" s="2">
        <v>9000000280</v>
      </c>
      <c r="I15" t="s">
        <v>93</v>
      </c>
      <c r="J15" t="s">
        <v>19</v>
      </c>
      <c r="K15" t="s">
        <v>94</v>
      </c>
      <c r="L15" t="s">
        <v>72</v>
      </c>
      <c r="M15" t="s">
        <v>73</v>
      </c>
      <c r="N15" t="s">
        <v>74</v>
      </c>
      <c r="O15" t="s">
        <v>24</v>
      </c>
      <c r="P15" t="s">
        <v>52</v>
      </c>
      <c r="Q15" t="s">
        <v>63</v>
      </c>
      <c r="R15" t="s">
        <v>68</v>
      </c>
      <c r="S15">
        <f>IF(enquiry_analysis_data[[#This Row],[enquiry_status]]="Converted",1,0)</f>
        <v>1</v>
      </c>
      <c r="T15" t="s">
        <v>28</v>
      </c>
    </row>
    <row r="16" spans="1:20" x14ac:dyDescent="0.3">
      <c r="A16">
        <v>493</v>
      </c>
      <c r="B16" s="1">
        <v>45683.565740740742</v>
      </c>
      <c r="C16" s="1" t="str">
        <f>TEXT(enquiry_analysis_data[[#This Row],[enquiry_date]],"mmmm-yyyy")</f>
        <v>January-2025</v>
      </c>
      <c r="D16">
        <f>YEAR(enquiry_analysis_data[[#This Row],[enquiry_date]])</f>
        <v>2025</v>
      </c>
      <c r="E16">
        <f>MONTH(enquiry_analysis_data[[#This Row],[enquiry_date]])</f>
        <v>1</v>
      </c>
      <c r="F16" t="s">
        <v>95</v>
      </c>
      <c r="G16" t="s">
        <v>96</v>
      </c>
      <c r="H16" s="2">
        <v>9000000490</v>
      </c>
      <c r="I16" t="s">
        <v>59</v>
      </c>
      <c r="J16" t="s">
        <v>19</v>
      </c>
      <c r="K16" t="s">
        <v>20</v>
      </c>
      <c r="L16" t="s">
        <v>78</v>
      </c>
      <c r="M16" t="s">
        <v>79</v>
      </c>
      <c r="N16" t="s">
        <v>80</v>
      </c>
      <c r="O16" t="s">
        <v>42</v>
      </c>
      <c r="P16" t="s">
        <v>25</v>
      </c>
      <c r="Q16" t="s">
        <v>63</v>
      </c>
      <c r="R16" t="s">
        <v>68</v>
      </c>
      <c r="S16">
        <f>IF(enquiry_analysis_data[[#This Row],[enquiry_status]]="Converted",1,0)</f>
        <v>1</v>
      </c>
      <c r="T16" t="s">
        <v>28</v>
      </c>
    </row>
    <row r="17" spans="1:20" x14ac:dyDescent="0.3">
      <c r="A17">
        <v>197</v>
      </c>
      <c r="B17" s="1">
        <v>45683.930567129632</v>
      </c>
      <c r="C17" s="1" t="str">
        <f>TEXT(enquiry_analysis_data[[#This Row],[enquiry_date]],"mmmm-yyyy")</f>
        <v>January-2025</v>
      </c>
      <c r="D17">
        <f>YEAR(enquiry_analysis_data[[#This Row],[enquiry_date]])</f>
        <v>2025</v>
      </c>
      <c r="E17">
        <f>MONTH(enquiry_analysis_data[[#This Row],[enquiry_date]])</f>
        <v>1</v>
      </c>
      <c r="F17" t="s">
        <v>97</v>
      </c>
      <c r="G17" t="s">
        <v>98</v>
      </c>
      <c r="H17" s="2">
        <v>9000000194</v>
      </c>
      <c r="I17" t="s">
        <v>93</v>
      </c>
      <c r="J17" t="s">
        <v>32</v>
      </c>
      <c r="K17" t="s">
        <v>33</v>
      </c>
      <c r="L17" t="s">
        <v>99</v>
      </c>
      <c r="M17" t="s">
        <v>100</v>
      </c>
      <c r="N17" t="s">
        <v>101</v>
      </c>
      <c r="O17" t="s">
        <v>42</v>
      </c>
      <c r="P17" t="s">
        <v>52</v>
      </c>
      <c r="Q17" t="s">
        <v>37</v>
      </c>
      <c r="R17" t="s">
        <v>68</v>
      </c>
      <c r="S17">
        <f>IF(enquiry_analysis_data[[#This Row],[enquiry_status]]="Converted",1,0)</f>
        <v>1</v>
      </c>
      <c r="T17" t="s">
        <v>28</v>
      </c>
    </row>
    <row r="18" spans="1:20" x14ac:dyDescent="0.3">
      <c r="A18">
        <v>287</v>
      </c>
      <c r="B18" s="1">
        <v>45684.327476851853</v>
      </c>
      <c r="C18" s="1" t="str">
        <f>TEXT(enquiry_analysis_data[[#This Row],[enquiry_date]],"mmmm-yyyy")</f>
        <v>January-2025</v>
      </c>
      <c r="D18">
        <f>YEAR(enquiry_analysis_data[[#This Row],[enquiry_date]])</f>
        <v>2025</v>
      </c>
      <c r="E18">
        <f>MONTH(enquiry_analysis_data[[#This Row],[enquiry_date]])</f>
        <v>1</v>
      </c>
      <c r="F18" t="s">
        <v>102</v>
      </c>
      <c r="G18" t="s">
        <v>103</v>
      </c>
      <c r="H18" s="2">
        <v>9000000284</v>
      </c>
      <c r="I18" t="s">
        <v>48</v>
      </c>
      <c r="J18" t="s">
        <v>104</v>
      </c>
      <c r="K18" t="s">
        <v>105</v>
      </c>
      <c r="L18" t="s">
        <v>106</v>
      </c>
      <c r="M18" t="s">
        <v>107</v>
      </c>
      <c r="N18" t="s">
        <v>108</v>
      </c>
      <c r="O18" t="s">
        <v>42</v>
      </c>
      <c r="P18" t="s">
        <v>52</v>
      </c>
      <c r="Q18" t="s">
        <v>53</v>
      </c>
      <c r="R18" t="s">
        <v>68</v>
      </c>
      <c r="S18">
        <f>IF(enquiry_analysis_data[[#This Row],[enquiry_status]]="Converted",1,0)</f>
        <v>1</v>
      </c>
      <c r="T18" t="s">
        <v>28</v>
      </c>
    </row>
    <row r="19" spans="1:20" x14ac:dyDescent="0.3">
      <c r="A19">
        <v>161</v>
      </c>
      <c r="B19" s="1">
        <v>45686.600983796299</v>
      </c>
      <c r="C19" s="1" t="str">
        <f>TEXT(enquiry_analysis_data[[#This Row],[enquiry_date]],"mmmm-yyyy")</f>
        <v>January-2025</v>
      </c>
      <c r="D19">
        <f>YEAR(enquiry_analysis_data[[#This Row],[enquiry_date]])</f>
        <v>2025</v>
      </c>
      <c r="E19">
        <f>MONTH(enquiry_analysis_data[[#This Row],[enquiry_date]])</f>
        <v>1</v>
      </c>
      <c r="F19" t="s">
        <v>109</v>
      </c>
      <c r="G19" t="s">
        <v>110</v>
      </c>
      <c r="H19" s="2">
        <v>9000000158</v>
      </c>
      <c r="I19" t="s">
        <v>71</v>
      </c>
      <c r="J19" t="s">
        <v>32</v>
      </c>
      <c r="K19" t="s">
        <v>67</v>
      </c>
      <c r="L19" t="s">
        <v>111</v>
      </c>
      <c r="M19" t="s">
        <v>112</v>
      </c>
      <c r="N19" t="s">
        <v>113</v>
      </c>
      <c r="O19" t="s">
        <v>24</v>
      </c>
      <c r="P19" t="s">
        <v>25</v>
      </c>
      <c r="Q19" t="s">
        <v>63</v>
      </c>
      <c r="R19" t="s">
        <v>114</v>
      </c>
      <c r="S19">
        <f>IF(enquiry_analysis_data[[#This Row],[enquiry_status]]="Converted",1,0)</f>
        <v>0</v>
      </c>
      <c r="T19" t="s">
        <v>28</v>
      </c>
    </row>
    <row r="20" spans="1:20" x14ac:dyDescent="0.3">
      <c r="A20">
        <v>484</v>
      </c>
      <c r="B20" s="1">
        <v>45688.862627314818</v>
      </c>
      <c r="C20" s="1" t="str">
        <f>TEXT(enquiry_analysis_data[[#This Row],[enquiry_date]],"mmmm-yyyy")</f>
        <v>January-2025</v>
      </c>
      <c r="D20">
        <f>YEAR(enquiry_analysis_data[[#This Row],[enquiry_date]])</f>
        <v>2025</v>
      </c>
      <c r="E20">
        <f>MONTH(enquiry_analysis_data[[#This Row],[enquiry_date]])</f>
        <v>1</v>
      </c>
      <c r="F20" t="s">
        <v>115</v>
      </c>
      <c r="G20" t="s">
        <v>116</v>
      </c>
      <c r="H20" s="2">
        <v>9000000481</v>
      </c>
      <c r="I20" t="s">
        <v>18</v>
      </c>
      <c r="J20" t="s">
        <v>19</v>
      </c>
      <c r="K20" t="s">
        <v>33</v>
      </c>
      <c r="L20" t="s">
        <v>117</v>
      </c>
      <c r="M20" t="s">
        <v>118</v>
      </c>
      <c r="N20" t="s">
        <v>119</v>
      </c>
      <c r="O20" t="s">
        <v>42</v>
      </c>
      <c r="P20" t="s">
        <v>36</v>
      </c>
      <c r="Q20" t="s">
        <v>26</v>
      </c>
      <c r="R20" t="s">
        <v>114</v>
      </c>
      <c r="S20">
        <f>IF(enquiry_analysis_data[[#This Row],[enquiry_status]]="Converted",1,0)</f>
        <v>0</v>
      </c>
      <c r="T20" t="s">
        <v>28</v>
      </c>
    </row>
    <row r="21" spans="1:20" x14ac:dyDescent="0.3">
      <c r="A21">
        <v>329</v>
      </c>
      <c r="B21" s="1">
        <v>45688.982314814813</v>
      </c>
      <c r="C21" s="1" t="str">
        <f>TEXT(enquiry_analysis_data[[#This Row],[enquiry_date]],"mmmm-yyyy")</f>
        <v>January-2025</v>
      </c>
      <c r="D21">
        <f>YEAR(enquiry_analysis_data[[#This Row],[enquiry_date]])</f>
        <v>2025</v>
      </c>
      <c r="E21">
        <f>MONTH(enquiry_analysis_data[[#This Row],[enquiry_date]])</f>
        <v>1</v>
      </c>
      <c r="F21" t="s">
        <v>120</v>
      </c>
      <c r="G21" t="s">
        <v>121</v>
      </c>
      <c r="H21" s="2">
        <v>9000000326</v>
      </c>
      <c r="I21" t="s">
        <v>18</v>
      </c>
      <c r="J21" t="s">
        <v>19</v>
      </c>
      <c r="K21" t="s">
        <v>33</v>
      </c>
      <c r="L21" t="s">
        <v>78</v>
      </c>
      <c r="M21" t="s">
        <v>79</v>
      </c>
      <c r="N21" t="s">
        <v>80</v>
      </c>
      <c r="O21" t="s">
        <v>24</v>
      </c>
      <c r="P21" t="s">
        <v>43</v>
      </c>
      <c r="Q21" t="s">
        <v>26</v>
      </c>
      <c r="R21" t="s">
        <v>27</v>
      </c>
      <c r="S21">
        <f>IF(enquiry_analysis_data[[#This Row],[enquiry_status]]="Converted",1,0)</f>
        <v>0</v>
      </c>
      <c r="T21" t="s">
        <v>28</v>
      </c>
    </row>
    <row r="22" spans="1:20" x14ac:dyDescent="0.3">
      <c r="A22">
        <v>444</v>
      </c>
      <c r="B22" s="1">
        <v>45689.046655092592</v>
      </c>
      <c r="C22" s="1" t="str">
        <f>TEXT(enquiry_analysis_data[[#This Row],[enquiry_date]],"mmmm-yyyy")</f>
        <v>February-2025</v>
      </c>
      <c r="D22">
        <f>YEAR(enquiry_analysis_data[[#This Row],[enquiry_date]])</f>
        <v>2025</v>
      </c>
      <c r="E22">
        <f>MONTH(enquiry_analysis_data[[#This Row],[enquiry_date]])</f>
        <v>2</v>
      </c>
      <c r="F22" t="s">
        <v>46</v>
      </c>
      <c r="G22" t="s">
        <v>122</v>
      </c>
      <c r="H22" s="2">
        <v>9000000441</v>
      </c>
      <c r="I22" t="s">
        <v>123</v>
      </c>
      <c r="J22" t="s">
        <v>32</v>
      </c>
      <c r="K22" t="s">
        <v>67</v>
      </c>
      <c r="L22" t="s">
        <v>60</v>
      </c>
      <c r="M22" t="s">
        <v>61</v>
      </c>
      <c r="N22" t="s">
        <v>62</v>
      </c>
      <c r="O22" t="s">
        <v>42</v>
      </c>
      <c r="P22" t="s">
        <v>43</v>
      </c>
      <c r="Q22" t="s">
        <v>53</v>
      </c>
      <c r="R22" t="s">
        <v>68</v>
      </c>
      <c r="S22">
        <f>IF(enquiry_analysis_data[[#This Row],[enquiry_status]]="Converted",1,0)</f>
        <v>1</v>
      </c>
      <c r="T22" t="s">
        <v>28</v>
      </c>
    </row>
    <row r="23" spans="1:20" x14ac:dyDescent="0.3">
      <c r="A23">
        <v>441</v>
      </c>
      <c r="B23" s="1">
        <v>45690.992210648146</v>
      </c>
      <c r="C23" s="1" t="str">
        <f>TEXT(enquiry_analysis_data[[#This Row],[enquiry_date]],"mmmm-yyyy")</f>
        <v>February-2025</v>
      </c>
      <c r="D23">
        <f>YEAR(enquiry_analysis_data[[#This Row],[enquiry_date]])</f>
        <v>2025</v>
      </c>
      <c r="E23">
        <f>MONTH(enquiry_analysis_data[[#This Row],[enquiry_date]])</f>
        <v>2</v>
      </c>
      <c r="F23" t="s">
        <v>124</v>
      </c>
      <c r="G23" t="s">
        <v>125</v>
      </c>
      <c r="H23" s="2">
        <v>9000000438</v>
      </c>
      <c r="I23" t="s">
        <v>59</v>
      </c>
      <c r="J23" t="s">
        <v>32</v>
      </c>
      <c r="K23" t="s">
        <v>67</v>
      </c>
      <c r="L23" t="s">
        <v>21</v>
      </c>
      <c r="M23" t="s">
        <v>22</v>
      </c>
      <c r="N23" t="s">
        <v>23</v>
      </c>
      <c r="O23" t="s">
        <v>42</v>
      </c>
      <c r="P23" t="s">
        <v>36</v>
      </c>
      <c r="Q23" t="s">
        <v>26</v>
      </c>
      <c r="R23" t="s">
        <v>56</v>
      </c>
      <c r="S23">
        <f>IF(enquiry_analysis_data[[#This Row],[enquiry_status]]="Converted",1,0)</f>
        <v>0</v>
      </c>
      <c r="T23" t="s">
        <v>28</v>
      </c>
    </row>
    <row r="24" spans="1:20" x14ac:dyDescent="0.3">
      <c r="A24">
        <v>381</v>
      </c>
      <c r="B24" s="1">
        <v>45691.625289351854</v>
      </c>
      <c r="C24" s="1" t="str">
        <f>TEXT(enquiry_analysis_data[[#This Row],[enquiry_date]],"mmmm-yyyy")</f>
        <v>February-2025</v>
      </c>
      <c r="D24">
        <f>YEAR(enquiry_analysis_data[[#This Row],[enquiry_date]])</f>
        <v>2025</v>
      </c>
      <c r="E24">
        <f>MONTH(enquiry_analysis_data[[#This Row],[enquiry_date]])</f>
        <v>2</v>
      </c>
      <c r="F24" t="s">
        <v>126</v>
      </c>
      <c r="G24" t="s">
        <v>127</v>
      </c>
      <c r="H24" s="2">
        <v>9000000378</v>
      </c>
      <c r="I24" t="s">
        <v>66</v>
      </c>
      <c r="J24" t="s">
        <v>128</v>
      </c>
      <c r="K24" t="s">
        <v>20</v>
      </c>
      <c r="L24" t="s">
        <v>40</v>
      </c>
      <c r="M24" t="s">
        <v>41</v>
      </c>
      <c r="N24" t="s">
        <v>41</v>
      </c>
      <c r="O24" t="s">
        <v>42</v>
      </c>
      <c r="P24" t="s">
        <v>43</v>
      </c>
      <c r="Q24" t="s">
        <v>83</v>
      </c>
      <c r="R24" t="s">
        <v>114</v>
      </c>
      <c r="S24">
        <f>IF(enquiry_analysis_data[[#This Row],[enquiry_status]]="Converted",1,0)</f>
        <v>0</v>
      </c>
      <c r="T24" t="s">
        <v>28</v>
      </c>
    </row>
    <row r="25" spans="1:20" x14ac:dyDescent="0.3">
      <c r="A25">
        <v>69</v>
      </c>
      <c r="B25" s="1">
        <v>45693.596898148149</v>
      </c>
      <c r="C25" s="1" t="str">
        <f>TEXT(enquiry_analysis_data[[#This Row],[enquiry_date]],"mmmm-yyyy")</f>
        <v>February-2025</v>
      </c>
      <c r="D25">
        <f>YEAR(enquiry_analysis_data[[#This Row],[enquiry_date]])</f>
        <v>2025</v>
      </c>
      <c r="E25">
        <f>MONTH(enquiry_analysis_data[[#This Row],[enquiry_date]])</f>
        <v>2</v>
      </c>
      <c r="F25" t="s">
        <v>129</v>
      </c>
      <c r="G25" t="s">
        <v>130</v>
      </c>
      <c r="H25" s="2">
        <v>9000000066</v>
      </c>
      <c r="I25" t="s">
        <v>31</v>
      </c>
      <c r="J25" t="s">
        <v>19</v>
      </c>
      <c r="K25" t="s">
        <v>33</v>
      </c>
      <c r="L25" t="s">
        <v>78</v>
      </c>
      <c r="M25" t="s">
        <v>79</v>
      </c>
      <c r="N25" t="s">
        <v>80</v>
      </c>
      <c r="O25" t="s">
        <v>42</v>
      </c>
      <c r="P25" t="s">
        <v>52</v>
      </c>
      <c r="Q25" t="s">
        <v>53</v>
      </c>
      <c r="R25" t="s">
        <v>27</v>
      </c>
      <c r="S25">
        <f>IF(enquiry_analysis_data[[#This Row],[enquiry_status]]="Converted",1,0)</f>
        <v>0</v>
      </c>
      <c r="T25" t="s">
        <v>28</v>
      </c>
    </row>
    <row r="26" spans="1:20" x14ac:dyDescent="0.3">
      <c r="A26">
        <v>462</v>
      </c>
      <c r="B26" s="1">
        <v>45697.614895833336</v>
      </c>
      <c r="C26" s="1" t="str">
        <f>TEXT(enquiry_analysis_data[[#This Row],[enquiry_date]],"mmmm-yyyy")</f>
        <v>February-2025</v>
      </c>
      <c r="D26">
        <f>YEAR(enquiry_analysis_data[[#This Row],[enquiry_date]])</f>
        <v>2025</v>
      </c>
      <c r="E26">
        <f>MONTH(enquiry_analysis_data[[#This Row],[enquiry_date]])</f>
        <v>2</v>
      </c>
      <c r="F26" t="s">
        <v>131</v>
      </c>
      <c r="G26" t="s">
        <v>132</v>
      </c>
      <c r="H26" s="2">
        <v>9000000459</v>
      </c>
      <c r="I26" t="s">
        <v>71</v>
      </c>
      <c r="J26" t="s">
        <v>32</v>
      </c>
      <c r="K26" t="s">
        <v>33</v>
      </c>
      <c r="L26" t="s">
        <v>78</v>
      </c>
      <c r="M26" t="s">
        <v>79</v>
      </c>
      <c r="N26" t="s">
        <v>80</v>
      </c>
      <c r="O26" t="s">
        <v>24</v>
      </c>
      <c r="P26" t="s">
        <v>36</v>
      </c>
      <c r="Q26" t="s">
        <v>26</v>
      </c>
      <c r="R26" t="s">
        <v>27</v>
      </c>
      <c r="S26">
        <f>IF(enquiry_analysis_data[[#This Row],[enquiry_status]]="Converted",1,0)</f>
        <v>0</v>
      </c>
      <c r="T26" t="s">
        <v>28</v>
      </c>
    </row>
    <row r="27" spans="1:20" x14ac:dyDescent="0.3">
      <c r="A27">
        <v>183</v>
      </c>
      <c r="B27" s="1">
        <v>45698.404675925929</v>
      </c>
      <c r="C27" s="1" t="str">
        <f>TEXT(enquiry_analysis_data[[#This Row],[enquiry_date]],"mmmm-yyyy")</f>
        <v>February-2025</v>
      </c>
      <c r="D27">
        <f>YEAR(enquiry_analysis_data[[#This Row],[enquiry_date]])</f>
        <v>2025</v>
      </c>
      <c r="E27">
        <f>MONTH(enquiry_analysis_data[[#This Row],[enquiry_date]])</f>
        <v>2</v>
      </c>
      <c r="F27" t="s">
        <v>133</v>
      </c>
      <c r="G27" t="s">
        <v>134</v>
      </c>
      <c r="H27" s="2">
        <v>9000000180</v>
      </c>
      <c r="I27" t="s">
        <v>48</v>
      </c>
      <c r="J27" t="s">
        <v>19</v>
      </c>
      <c r="K27" t="s">
        <v>67</v>
      </c>
      <c r="L27" t="s">
        <v>40</v>
      </c>
      <c r="M27" t="s">
        <v>41</v>
      </c>
      <c r="N27" t="s">
        <v>41</v>
      </c>
      <c r="O27" t="s">
        <v>24</v>
      </c>
      <c r="P27" t="s">
        <v>52</v>
      </c>
      <c r="Q27" t="s">
        <v>53</v>
      </c>
      <c r="R27" t="s">
        <v>68</v>
      </c>
      <c r="S27">
        <f>IF(enquiry_analysis_data[[#This Row],[enquiry_status]]="Converted",1,0)</f>
        <v>1</v>
      </c>
      <c r="T27" t="s">
        <v>28</v>
      </c>
    </row>
    <row r="28" spans="1:20" x14ac:dyDescent="0.3">
      <c r="A28">
        <v>199</v>
      </c>
      <c r="B28" s="1">
        <v>45700.082245370373</v>
      </c>
      <c r="C28" s="1" t="str">
        <f>TEXT(enquiry_analysis_data[[#This Row],[enquiry_date]],"mmmm-yyyy")</f>
        <v>February-2025</v>
      </c>
      <c r="D28">
        <f>YEAR(enquiry_analysis_data[[#This Row],[enquiry_date]])</f>
        <v>2025</v>
      </c>
      <c r="E28">
        <f>MONTH(enquiry_analysis_data[[#This Row],[enquiry_date]])</f>
        <v>2</v>
      </c>
      <c r="F28" t="s">
        <v>133</v>
      </c>
      <c r="G28" t="s">
        <v>135</v>
      </c>
      <c r="H28" s="2">
        <v>9000000196</v>
      </c>
      <c r="I28" t="s">
        <v>88</v>
      </c>
      <c r="J28" t="s">
        <v>19</v>
      </c>
      <c r="K28" t="s">
        <v>67</v>
      </c>
      <c r="L28" t="s">
        <v>136</v>
      </c>
      <c r="M28" t="s">
        <v>137</v>
      </c>
      <c r="N28" t="s">
        <v>62</v>
      </c>
      <c r="O28" t="s">
        <v>24</v>
      </c>
      <c r="P28" t="s">
        <v>25</v>
      </c>
      <c r="Q28" t="s">
        <v>138</v>
      </c>
      <c r="R28" t="s">
        <v>56</v>
      </c>
      <c r="S28">
        <f>IF(enquiry_analysis_data[[#This Row],[enquiry_status]]="Converted",1,0)</f>
        <v>0</v>
      </c>
      <c r="T28" t="s">
        <v>28</v>
      </c>
    </row>
    <row r="29" spans="1:20" x14ac:dyDescent="0.3">
      <c r="A29">
        <v>312</v>
      </c>
      <c r="B29" s="1">
        <v>45702.473182870373</v>
      </c>
      <c r="C29" s="1" t="str">
        <f>TEXT(enquiry_analysis_data[[#This Row],[enquiry_date]],"mmmm-yyyy")</f>
        <v>February-2025</v>
      </c>
      <c r="D29">
        <f>YEAR(enquiry_analysis_data[[#This Row],[enquiry_date]])</f>
        <v>2025</v>
      </c>
      <c r="E29">
        <f>MONTH(enquiry_analysis_data[[#This Row],[enquiry_date]])</f>
        <v>2</v>
      </c>
      <c r="F29" t="s">
        <v>139</v>
      </c>
      <c r="G29" t="s">
        <v>140</v>
      </c>
      <c r="H29" s="2">
        <v>9000000309</v>
      </c>
      <c r="I29" t="s">
        <v>59</v>
      </c>
      <c r="J29" t="s">
        <v>19</v>
      </c>
      <c r="K29" t="s">
        <v>33</v>
      </c>
      <c r="L29" t="s">
        <v>40</v>
      </c>
      <c r="M29" t="s">
        <v>41</v>
      </c>
      <c r="N29" t="s">
        <v>41</v>
      </c>
      <c r="O29" t="s">
        <v>42</v>
      </c>
      <c r="P29" t="s">
        <v>36</v>
      </c>
      <c r="Q29" t="s">
        <v>141</v>
      </c>
      <c r="R29" t="s">
        <v>114</v>
      </c>
      <c r="S29">
        <f>IF(enquiry_analysis_data[[#This Row],[enquiry_status]]="Converted",1,0)</f>
        <v>0</v>
      </c>
      <c r="T29" t="s">
        <v>28</v>
      </c>
    </row>
    <row r="30" spans="1:20" x14ac:dyDescent="0.3">
      <c r="A30">
        <v>125</v>
      </c>
      <c r="B30" s="1">
        <v>45702.926319444443</v>
      </c>
      <c r="C30" s="1" t="str">
        <f>TEXT(enquiry_analysis_data[[#This Row],[enquiry_date]],"mmmm-yyyy")</f>
        <v>February-2025</v>
      </c>
      <c r="D30">
        <f>YEAR(enquiry_analysis_data[[#This Row],[enquiry_date]])</f>
        <v>2025</v>
      </c>
      <c r="E30">
        <f>MONTH(enquiry_analysis_data[[#This Row],[enquiry_date]])</f>
        <v>2</v>
      </c>
      <c r="F30" t="s">
        <v>142</v>
      </c>
      <c r="G30" t="s">
        <v>143</v>
      </c>
      <c r="H30" s="2">
        <v>9000000122</v>
      </c>
      <c r="I30" t="s">
        <v>88</v>
      </c>
      <c r="J30" t="s">
        <v>19</v>
      </c>
      <c r="K30" t="s">
        <v>33</v>
      </c>
      <c r="L30" t="s">
        <v>144</v>
      </c>
      <c r="M30" t="s">
        <v>145</v>
      </c>
      <c r="N30" t="s">
        <v>101</v>
      </c>
      <c r="O30" t="s">
        <v>42</v>
      </c>
      <c r="P30" t="s">
        <v>25</v>
      </c>
      <c r="Q30" t="s">
        <v>83</v>
      </c>
      <c r="R30" t="s">
        <v>56</v>
      </c>
      <c r="S30">
        <f>IF(enquiry_analysis_data[[#This Row],[enquiry_status]]="Converted",1,0)</f>
        <v>0</v>
      </c>
      <c r="T30" t="s">
        <v>28</v>
      </c>
    </row>
    <row r="31" spans="1:20" x14ac:dyDescent="0.3">
      <c r="A31">
        <v>72</v>
      </c>
      <c r="B31" s="1">
        <v>45705.405636574076</v>
      </c>
      <c r="C31" s="1" t="str">
        <f>TEXT(enquiry_analysis_data[[#This Row],[enquiry_date]],"mmmm-yyyy")</f>
        <v>February-2025</v>
      </c>
      <c r="D31">
        <f>YEAR(enquiry_analysis_data[[#This Row],[enquiry_date]])</f>
        <v>2025</v>
      </c>
      <c r="E31">
        <f>MONTH(enquiry_analysis_data[[#This Row],[enquiry_date]])</f>
        <v>2</v>
      </c>
      <c r="F31" t="s">
        <v>146</v>
      </c>
      <c r="G31" t="s">
        <v>147</v>
      </c>
      <c r="H31" s="2">
        <v>9000000069</v>
      </c>
      <c r="I31" t="s">
        <v>71</v>
      </c>
      <c r="J31" t="s">
        <v>19</v>
      </c>
      <c r="K31" t="s">
        <v>94</v>
      </c>
      <c r="L31" t="s">
        <v>136</v>
      </c>
      <c r="M31" t="s">
        <v>137</v>
      </c>
      <c r="N31" t="s">
        <v>62</v>
      </c>
      <c r="O31" t="s">
        <v>24</v>
      </c>
      <c r="P31" t="s">
        <v>43</v>
      </c>
      <c r="Q31" t="s">
        <v>53</v>
      </c>
      <c r="R31" t="s">
        <v>68</v>
      </c>
      <c r="S31">
        <f>IF(enquiry_analysis_data[[#This Row],[enquiry_status]]="Converted",1,0)</f>
        <v>1</v>
      </c>
      <c r="T31" t="s">
        <v>28</v>
      </c>
    </row>
    <row r="32" spans="1:20" x14ac:dyDescent="0.3">
      <c r="A32">
        <v>235</v>
      </c>
      <c r="B32" s="1">
        <v>45707.565393518518</v>
      </c>
      <c r="C32" s="1" t="str">
        <f>TEXT(enquiry_analysis_data[[#This Row],[enquiry_date]],"mmmm-yyyy")</f>
        <v>February-2025</v>
      </c>
      <c r="D32">
        <f>YEAR(enquiry_analysis_data[[#This Row],[enquiry_date]])</f>
        <v>2025</v>
      </c>
      <c r="E32">
        <f>MONTH(enquiry_analysis_data[[#This Row],[enquiry_date]])</f>
        <v>2</v>
      </c>
      <c r="F32" t="s">
        <v>148</v>
      </c>
      <c r="G32" t="s">
        <v>149</v>
      </c>
      <c r="H32" s="2">
        <v>9000000232</v>
      </c>
      <c r="I32" t="s">
        <v>18</v>
      </c>
      <c r="J32" t="s">
        <v>19</v>
      </c>
      <c r="K32" t="s">
        <v>33</v>
      </c>
      <c r="L32" t="s">
        <v>136</v>
      </c>
      <c r="M32" t="s">
        <v>137</v>
      </c>
      <c r="N32" t="s">
        <v>62</v>
      </c>
      <c r="O32" t="s">
        <v>42</v>
      </c>
      <c r="P32" t="s">
        <v>36</v>
      </c>
      <c r="Q32" t="s">
        <v>83</v>
      </c>
      <c r="R32" t="s">
        <v>68</v>
      </c>
      <c r="S32">
        <f>IF(enquiry_analysis_data[[#This Row],[enquiry_status]]="Converted",1,0)</f>
        <v>1</v>
      </c>
      <c r="T32" t="s">
        <v>28</v>
      </c>
    </row>
    <row r="33" spans="1:20" x14ac:dyDescent="0.3">
      <c r="A33">
        <v>172</v>
      </c>
      <c r="B33" s="1">
        <v>45707.898784722223</v>
      </c>
      <c r="C33" s="1" t="str">
        <f>TEXT(enquiry_analysis_data[[#This Row],[enquiry_date]],"mmmm-yyyy")</f>
        <v>February-2025</v>
      </c>
      <c r="D33">
        <f>YEAR(enquiry_analysis_data[[#This Row],[enquiry_date]])</f>
        <v>2025</v>
      </c>
      <c r="E33">
        <f>MONTH(enquiry_analysis_data[[#This Row],[enquiry_date]])</f>
        <v>2</v>
      </c>
      <c r="F33" t="s">
        <v>150</v>
      </c>
      <c r="G33" t="s">
        <v>151</v>
      </c>
      <c r="H33" s="2">
        <v>9000000169</v>
      </c>
      <c r="I33" t="s">
        <v>18</v>
      </c>
      <c r="J33" t="s">
        <v>32</v>
      </c>
      <c r="K33" t="s">
        <v>33</v>
      </c>
      <c r="L33" t="s">
        <v>117</v>
      </c>
      <c r="M33" t="s">
        <v>118</v>
      </c>
      <c r="N33" t="s">
        <v>119</v>
      </c>
      <c r="O33" t="s">
        <v>42</v>
      </c>
      <c r="P33" t="s">
        <v>43</v>
      </c>
      <c r="Q33" t="s">
        <v>53</v>
      </c>
      <c r="R33" t="s">
        <v>68</v>
      </c>
      <c r="S33">
        <f>IF(enquiry_analysis_data[[#This Row],[enquiry_status]]="Converted",1,0)</f>
        <v>1</v>
      </c>
      <c r="T33" t="s">
        <v>28</v>
      </c>
    </row>
    <row r="34" spans="1:20" x14ac:dyDescent="0.3">
      <c r="A34">
        <v>253</v>
      </c>
      <c r="B34" s="1">
        <v>45707.985833333332</v>
      </c>
      <c r="C34" s="1" t="str">
        <f>TEXT(enquiry_analysis_data[[#This Row],[enquiry_date]],"mmmm-yyyy")</f>
        <v>February-2025</v>
      </c>
      <c r="D34">
        <f>YEAR(enquiry_analysis_data[[#This Row],[enquiry_date]])</f>
        <v>2025</v>
      </c>
      <c r="E34">
        <f>MONTH(enquiry_analysis_data[[#This Row],[enquiry_date]])</f>
        <v>2</v>
      </c>
      <c r="F34" t="s">
        <v>152</v>
      </c>
      <c r="G34" t="s">
        <v>153</v>
      </c>
      <c r="H34" s="2">
        <v>9000000250</v>
      </c>
      <c r="I34" t="s">
        <v>48</v>
      </c>
      <c r="J34" t="s">
        <v>19</v>
      </c>
      <c r="K34" t="s">
        <v>33</v>
      </c>
      <c r="L34" t="s">
        <v>154</v>
      </c>
      <c r="M34" t="s">
        <v>155</v>
      </c>
      <c r="N34" t="s">
        <v>156</v>
      </c>
      <c r="O34" t="s">
        <v>24</v>
      </c>
      <c r="P34" t="s">
        <v>43</v>
      </c>
      <c r="Q34" t="s">
        <v>83</v>
      </c>
      <c r="R34" t="s">
        <v>45</v>
      </c>
      <c r="S34">
        <f>IF(enquiry_analysis_data[[#This Row],[enquiry_status]]="Converted",1,0)</f>
        <v>0</v>
      </c>
      <c r="T34" t="s">
        <v>28</v>
      </c>
    </row>
    <row r="35" spans="1:20" x14ac:dyDescent="0.3">
      <c r="A35">
        <v>269</v>
      </c>
      <c r="B35" s="1">
        <v>45708.451909722222</v>
      </c>
      <c r="C35" s="1" t="str">
        <f>TEXT(enquiry_analysis_data[[#This Row],[enquiry_date]],"mmmm-yyyy")</f>
        <v>February-2025</v>
      </c>
      <c r="D35">
        <f>YEAR(enquiry_analysis_data[[#This Row],[enquiry_date]])</f>
        <v>2025</v>
      </c>
      <c r="E35">
        <f>MONTH(enquiry_analysis_data[[#This Row],[enquiry_date]])</f>
        <v>2</v>
      </c>
      <c r="F35" t="s">
        <v>157</v>
      </c>
      <c r="G35" t="s">
        <v>158</v>
      </c>
      <c r="H35" s="2">
        <v>9000000266</v>
      </c>
      <c r="I35" t="s">
        <v>66</v>
      </c>
      <c r="J35" t="s">
        <v>32</v>
      </c>
      <c r="K35" t="s">
        <v>67</v>
      </c>
      <c r="L35" t="s">
        <v>21</v>
      </c>
      <c r="M35" t="s">
        <v>22</v>
      </c>
      <c r="N35" t="s">
        <v>23</v>
      </c>
      <c r="O35" t="s">
        <v>42</v>
      </c>
      <c r="P35" t="s">
        <v>36</v>
      </c>
      <c r="Q35" t="s">
        <v>53</v>
      </c>
      <c r="R35" t="s">
        <v>68</v>
      </c>
      <c r="S35">
        <f>IF(enquiry_analysis_data[[#This Row],[enquiry_status]]="Converted",1,0)</f>
        <v>1</v>
      </c>
      <c r="T35" t="s">
        <v>28</v>
      </c>
    </row>
    <row r="36" spans="1:20" x14ac:dyDescent="0.3">
      <c r="A36">
        <v>118</v>
      </c>
      <c r="B36" s="1">
        <v>45710.850057870368</v>
      </c>
      <c r="C36" s="1" t="str">
        <f>TEXT(enquiry_analysis_data[[#This Row],[enquiry_date]],"mmmm-yyyy")</f>
        <v>February-2025</v>
      </c>
      <c r="D36">
        <f>YEAR(enquiry_analysis_data[[#This Row],[enquiry_date]])</f>
        <v>2025</v>
      </c>
      <c r="E36">
        <f>MONTH(enquiry_analysis_data[[#This Row],[enquiry_date]])</f>
        <v>2</v>
      </c>
      <c r="F36" t="s">
        <v>159</v>
      </c>
      <c r="G36" t="s">
        <v>160</v>
      </c>
      <c r="H36" s="2">
        <v>9000000115</v>
      </c>
      <c r="I36" t="s">
        <v>77</v>
      </c>
      <c r="J36" t="s">
        <v>104</v>
      </c>
      <c r="K36" t="s">
        <v>105</v>
      </c>
      <c r="L36" t="s">
        <v>144</v>
      </c>
      <c r="M36" t="s">
        <v>145</v>
      </c>
      <c r="N36" t="s">
        <v>101</v>
      </c>
      <c r="O36" t="s">
        <v>42</v>
      </c>
      <c r="P36" t="s">
        <v>25</v>
      </c>
      <c r="Q36" t="s">
        <v>53</v>
      </c>
      <c r="R36" t="s">
        <v>68</v>
      </c>
      <c r="S36">
        <f>IF(enquiry_analysis_data[[#This Row],[enquiry_status]]="Converted",1,0)</f>
        <v>1</v>
      </c>
      <c r="T36" t="s">
        <v>28</v>
      </c>
    </row>
    <row r="37" spans="1:20" x14ac:dyDescent="0.3">
      <c r="A37">
        <v>360</v>
      </c>
      <c r="B37" s="1">
        <v>45711.329224537039</v>
      </c>
      <c r="C37" s="1" t="str">
        <f>TEXT(enquiry_analysis_data[[#This Row],[enquiry_date]],"mmmm-yyyy")</f>
        <v>February-2025</v>
      </c>
      <c r="D37">
        <f>YEAR(enquiry_analysis_data[[#This Row],[enquiry_date]])</f>
        <v>2025</v>
      </c>
      <c r="E37">
        <f>MONTH(enquiry_analysis_data[[#This Row],[enquiry_date]])</f>
        <v>2</v>
      </c>
      <c r="F37" t="s">
        <v>161</v>
      </c>
      <c r="G37" t="s">
        <v>162</v>
      </c>
      <c r="H37" s="2">
        <v>9000000357</v>
      </c>
      <c r="I37" t="s">
        <v>18</v>
      </c>
      <c r="J37" t="s">
        <v>128</v>
      </c>
      <c r="K37" t="s">
        <v>94</v>
      </c>
      <c r="L37" t="s">
        <v>154</v>
      </c>
      <c r="M37" t="s">
        <v>155</v>
      </c>
      <c r="N37" t="s">
        <v>156</v>
      </c>
      <c r="O37" t="s">
        <v>42</v>
      </c>
      <c r="P37" t="s">
        <v>52</v>
      </c>
      <c r="Q37" t="s">
        <v>26</v>
      </c>
      <c r="R37" t="s">
        <v>45</v>
      </c>
      <c r="S37">
        <f>IF(enquiry_analysis_data[[#This Row],[enquiry_status]]="Converted",1,0)</f>
        <v>0</v>
      </c>
      <c r="T37" t="s">
        <v>28</v>
      </c>
    </row>
    <row r="38" spans="1:20" x14ac:dyDescent="0.3">
      <c r="A38">
        <v>422</v>
      </c>
      <c r="B38" s="1">
        <v>45713.789583333331</v>
      </c>
      <c r="C38" s="1" t="str">
        <f>TEXT(enquiry_analysis_data[[#This Row],[enquiry_date]],"mmmm-yyyy")</f>
        <v>February-2025</v>
      </c>
      <c r="D38">
        <f>YEAR(enquiry_analysis_data[[#This Row],[enquiry_date]])</f>
        <v>2025</v>
      </c>
      <c r="E38">
        <f>MONTH(enquiry_analysis_data[[#This Row],[enquiry_date]])</f>
        <v>2</v>
      </c>
      <c r="F38" t="s">
        <v>163</v>
      </c>
      <c r="G38" t="s">
        <v>164</v>
      </c>
      <c r="H38" s="2">
        <v>9000000419</v>
      </c>
      <c r="I38" t="s">
        <v>88</v>
      </c>
      <c r="J38" t="s">
        <v>128</v>
      </c>
      <c r="K38" t="s">
        <v>33</v>
      </c>
      <c r="L38" t="s">
        <v>34</v>
      </c>
      <c r="M38" t="s">
        <v>35</v>
      </c>
      <c r="N38" t="s">
        <v>35</v>
      </c>
      <c r="O38" t="s">
        <v>24</v>
      </c>
      <c r="P38" t="s">
        <v>25</v>
      </c>
      <c r="Q38" t="s">
        <v>26</v>
      </c>
      <c r="R38" t="s">
        <v>45</v>
      </c>
      <c r="S38">
        <f>IF(enquiry_analysis_data[[#This Row],[enquiry_status]]="Converted",1,0)</f>
        <v>0</v>
      </c>
      <c r="T38" t="s">
        <v>28</v>
      </c>
    </row>
    <row r="39" spans="1:20" x14ac:dyDescent="0.3">
      <c r="A39">
        <v>169</v>
      </c>
      <c r="B39" s="1">
        <v>45719.039166666669</v>
      </c>
      <c r="C39" s="1" t="str">
        <f>TEXT(enquiry_analysis_data[[#This Row],[enquiry_date]],"mmmm-yyyy")</f>
        <v>March-2025</v>
      </c>
      <c r="D39">
        <f>YEAR(enquiry_analysis_data[[#This Row],[enquiry_date]])</f>
        <v>2025</v>
      </c>
      <c r="E39">
        <f>MONTH(enquiry_analysis_data[[#This Row],[enquiry_date]])</f>
        <v>3</v>
      </c>
      <c r="F39" t="s">
        <v>165</v>
      </c>
      <c r="G39" t="s">
        <v>166</v>
      </c>
      <c r="H39" s="2">
        <v>9000000166</v>
      </c>
      <c r="I39" t="s">
        <v>59</v>
      </c>
      <c r="J39" t="s">
        <v>128</v>
      </c>
      <c r="K39" t="s">
        <v>33</v>
      </c>
      <c r="L39" t="s">
        <v>136</v>
      </c>
      <c r="M39" t="s">
        <v>137</v>
      </c>
      <c r="N39" t="s">
        <v>62</v>
      </c>
      <c r="O39" t="s">
        <v>24</v>
      </c>
      <c r="P39" t="s">
        <v>36</v>
      </c>
      <c r="Q39" t="s">
        <v>53</v>
      </c>
      <c r="R39" t="s">
        <v>68</v>
      </c>
      <c r="S39">
        <f>IF(enquiry_analysis_data[[#This Row],[enquiry_status]]="Converted",1,0)</f>
        <v>1</v>
      </c>
      <c r="T39" t="s">
        <v>28</v>
      </c>
    </row>
    <row r="40" spans="1:20" x14ac:dyDescent="0.3">
      <c r="A40">
        <v>421</v>
      </c>
      <c r="B40" s="1">
        <v>45719.275914351849</v>
      </c>
      <c r="C40" s="1" t="str">
        <f>TEXT(enquiry_analysis_data[[#This Row],[enquiry_date]],"mmmm-yyyy")</f>
        <v>March-2025</v>
      </c>
      <c r="D40">
        <f>YEAR(enquiry_analysis_data[[#This Row],[enquiry_date]])</f>
        <v>2025</v>
      </c>
      <c r="E40">
        <f>MONTH(enquiry_analysis_data[[#This Row],[enquiry_date]])</f>
        <v>3</v>
      </c>
      <c r="F40" t="s">
        <v>167</v>
      </c>
      <c r="G40" t="s">
        <v>168</v>
      </c>
      <c r="H40" s="2">
        <v>9000000418</v>
      </c>
      <c r="I40" t="s">
        <v>71</v>
      </c>
      <c r="J40" t="s">
        <v>19</v>
      </c>
      <c r="K40" t="s">
        <v>67</v>
      </c>
      <c r="L40" t="s">
        <v>111</v>
      </c>
      <c r="M40" t="s">
        <v>112</v>
      </c>
      <c r="N40" t="s">
        <v>113</v>
      </c>
      <c r="O40" t="s">
        <v>42</v>
      </c>
      <c r="P40" t="s">
        <v>36</v>
      </c>
      <c r="Q40" t="s">
        <v>63</v>
      </c>
      <c r="R40" t="s">
        <v>68</v>
      </c>
      <c r="S40">
        <f>IF(enquiry_analysis_data[[#This Row],[enquiry_status]]="Converted",1,0)</f>
        <v>1</v>
      </c>
      <c r="T40" t="s">
        <v>28</v>
      </c>
    </row>
    <row r="41" spans="1:20" x14ac:dyDescent="0.3">
      <c r="A41">
        <v>123</v>
      </c>
      <c r="B41" s="1">
        <v>45719.679409722223</v>
      </c>
      <c r="C41" s="1" t="str">
        <f>TEXT(enquiry_analysis_data[[#This Row],[enquiry_date]],"mmmm-yyyy")</f>
        <v>March-2025</v>
      </c>
      <c r="D41">
        <f>YEAR(enquiry_analysis_data[[#This Row],[enquiry_date]])</f>
        <v>2025</v>
      </c>
      <c r="E41">
        <f>MONTH(enquiry_analysis_data[[#This Row],[enquiry_date]])</f>
        <v>3</v>
      </c>
      <c r="F41" t="s">
        <v>169</v>
      </c>
      <c r="G41" t="s">
        <v>170</v>
      </c>
      <c r="H41" s="2">
        <v>9000000120</v>
      </c>
      <c r="I41" t="s">
        <v>71</v>
      </c>
      <c r="J41" t="s">
        <v>128</v>
      </c>
      <c r="K41" t="s">
        <v>20</v>
      </c>
      <c r="L41" t="s">
        <v>34</v>
      </c>
      <c r="M41" t="s">
        <v>35</v>
      </c>
      <c r="N41" t="s">
        <v>35</v>
      </c>
      <c r="O41" t="s">
        <v>24</v>
      </c>
      <c r="P41" t="s">
        <v>25</v>
      </c>
      <c r="Q41" t="s">
        <v>26</v>
      </c>
      <c r="R41" t="s">
        <v>56</v>
      </c>
      <c r="S41">
        <f>IF(enquiry_analysis_data[[#This Row],[enquiry_status]]="Converted",1,0)</f>
        <v>0</v>
      </c>
      <c r="T41" t="s">
        <v>28</v>
      </c>
    </row>
    <row r="42" spans="1:20" x14ac:dyDescent="0.3">
      <c r="A42">
        <v>37</v>
      </c>
      <c r="B42" s="1">
        <v>45724.536956018521</v>
      </c>
      <c r="C42" s="1" t="str">
        <f>TEXT(enquiry_analysis_data[[#This Row],[enquiry_date]],"mmmm-yyyy")</f>
        <v>March-2025</v>
      </c>
      <c r="D42">
        <f>YEAR(enquiry_analysis_data[[#This Row],[enquiry_date]])</f>
        <v>2025</v>
      </c>
      <c r="E42">
        <f>MONTH(enquiry_analysis_data[[#This Row],[enquiry_date]])</f>
        <v>3</v>
      </c>
      <c r="F42" t="s">
        <v>171</v>
      </c>
      <c r="G42" t="s">
        <v>172</v>
      </c>
      <c r="H42" s="2">
        <v>9000000034</v>
      </c>
      <c r="I42" t="s">
        <v>66</v>
      </c>
      <c r="J42" t="s">
        <v>128</v>
      </c>
      <c r="K42" t="s">
        <v>67</v>
      </c>
      <c r="L42" t="s">
        <v>60</v>
      </c>
      <c r="M42" t="s">
        <v>61</v>
      </c>
      <c r="N42" t="s">
        <v>62</v>
      </c>
      <c r="O42" t="s">
        <v>42</v>
      </c>
      <c r="P42" t="s">
        <v>36</v>
      </c>
      <c r="Q42" t="s">
        <v>141</v>
      </c>
      <c r="R42" t="s">
        <v>114</v>
      </c>
      <c r="S42">
        <f>IF(enquiry_analysis_data[[#This Row],[enquiry_status]]="Converted",1,0)</f>
        <v>0</v>
      </c>
      <c r="T42" t="s">
        <v>28</v>
      </c>
    </row>
    <row r="43" spans="1:20" x14ac:dyDescent="0.3">
      <c r="A43">
        <v>28</v>
      </c>
      <c r="B43" s="1">
        <v>45725.688055555554</v>
      </c>
      <c r="C43" s="1" t="str">
        <f>TEXT(enquiry_analysis_data[[#This Row],[enquiry_date]],"mmmm-yyyy")</f>
        <v>March-2025</v>
      </c>
      <c r="D43">
        <f>YEAR(enquiry_analysis_data[[#This Row],[enquiry_date]])</f>
        <v>2025</v>
      </c>
      <c r="E43">
        <f>MONTH(enquiry_analysis_data[[#This Row],[enquiry_date]])</f>
        <v>3</v>
      </c>
      <c r="F43" t="s">
        <v>173</v>
      </c>
      <c r="G43" t="s">
        <v>174</v>
      </c>
      <c r="H43" s="2">
        <v>9000000025</v>
      </c>
      <c r="I43" t="s">
        <v>48</v>
      </c>
      <c r="J43" t="s">
        <v>19</v>
      </c>
      <c r="K43" t="s">
        <v>20</v>
      </c>
      <c r="L43" t="s">
        <v>111</v>
      </c>
      <c r="M43" t="s">
        <v>112</v>
      </c>
      <c r="N43" t="s">
        <v>113</v>
      </c>
      <c r="O43" t="s">
        <v>24</v>
      </c>
      <c r="P43" t="s">
        <v>43</v>
      </c>
      <c r="Q43" t="s">
        <v>44</v>
      </c>
      <c r="R43" t="s">
        <v>114</v>
      </c>
      <c r="S43">
        <f>IF(enquiry_analysis_data[[#This Row],[enquiry_status]]="Converted",1,0)</f>
        <v>0</v>
      </c>
      <c r="T43" t="s">
        <v>28</v>
      </c>
    </row>
    <row r="44" spans="1:20" x14ac:dyDescent="0.3">
      <c r="A44">
        <v>402</v>
      </c>
      <c r="B44" s="1">
        <v>45725.827800925923</v>
      </c>
      <c r="C44" s="1" t="str">
        <f>TEXT(enquiry_analysis_data[[#This Row],[enquiry_date]],"mmmm-yyyy")</f>
        <v>March-2025</v>
      </c>
      <c r="D44">
        <f>YEAR(enquiry_analysis_data[[#This Row],[enquiry_date]])</f>
        <v>2025</v>
      </c>
      <c r="E44">
        <f>MONTH(enquiry_analysis_data[[#This Row],[enquiry_date]])</f>
        <v>3</v>
      </c>
      <c r="F44" t="s">
        <v>175</v>
      </c>
      <c r="G44" t="s">
        <v>176</v>
      </c>
      <c r="H44" s="2">
        <v>9000000399</v>
      </c>
      <c r="I44" t="s">
        <v>48</v>
      </c>
      <c r="J44" t="s">
        <v>32</v>
      </c>
      <c r="K44" t="s">
        <v>33</v>
      </c>
      <c r="L44" t="s">
        <v>78</v>
      </c>
      <c r="M44" t="s">
        <v>79</v>
      </c>
      <c r="N44" t="s">
        <v>80</v>
      </c>
      <c r="O44" t="s">
        <v>42</v>
      </c>
      <c r="P44" t="s">
        <v>43</v>
      </c>
      <c r="Q44" t="s">
        <v>26</v>
      </c>
      <c r="R44" t="s">
        <v>68</v>
      </c>
      <c r="S44">
        <f>IF(enquiry_analysis_data[[#This Row],[enquiry_status]]="Converted",1,0)</f>
        <v>1</v>
      </c>
      <c r="T44" t="s">
        <v>28</v>
      </c>
    </row>
    <row r="45" spans="1:20" x14ac:dyDescent="0.3">
      <c r="A45">
        <v>241</v>
      </c>
      <c r="B45" s="1">
        <v>45727.760497685187</v>
      </c>
      <c r="C45" s="1" t="str">
        <f>TEXT(enquiry_analysis_data[[#This Row],[enquiry_date]],"mmmm-yyyy")</f>
        <v>March-2025</v>
      </c>
      <c r="D45">
        <f>YEAR(enquiry_analysis_data[[#This Row],[enquiry_date]])</f>
        <v>2025</v>
      </c>
      <c r="E45">
        <f>MONTH(enquiry_analysis_data[[#This Row],[enquiry_date]])</f>
        <v>3</v>
      </c>
      <c r="F45" t="s">
        <v>54</v>
      </c>
      <c r="G45" t="s">
        <v>177</v>
      </c>
      <c r="H45" s="2">
        <v>9000000238</v>
      </c>
      <c r="I45" t="s">
        <v>88</v>
      </c>
      <c r="J45" t="s">
        <v>104</v>
      </c>
      <c r="K45" t="s">
        <v>105</v>
      </c>
      <c r="L45" t="s">
        <v>34</v>
      </c>
      <c r="M45" t="s">
        <v>35</v>
      </c>
      <c r="N45" t="s">
        <v>35</v>
      </c>
      <c r="O45" t="s">
        <v>42</v>
      </c>
      <c r="P45" t="s">
        <v>25</v>
      </c>
      <c r="Q45" t="s">
        <v>53</v>
      </c>
      <c r="R45" t="s">
        <v>68</v>
      </c>
      <c r="S45">
        <f>IF(enquiry_analysis_data[[#This Row],[enquiry_status]]="Converted",1,0)</f>
        <v>1</v>
      </c>
      <c r="T45" t="s">
        <v>28</v>
      </c>
    </row>
    <row r="46" spans="1:20" x14ac:dyDescent="0.3">
      <c r="A46">
        <v>465</v>
      </c>
      <c r="B46" s="1">
        <v>45727.965219907404</v>
      </c>
      <c r="C46" s="1" t="str">
        <f>TEXT(enquiry_analysis_data[[#This Row],[enquiry_date]],"mmmm-yyyy")</f>
        <v>March-2025</v>
      </c>
      <c r="D46">
        <f>YEAR(enquiry_analysis_data[[#This Row],[enquiry_date]])</f>
        <v>2025</v>
      </c>
      <c r="E46">
        <f>MONTH(enquiry_analysis_data[[#This Row],[enquiry_date]])</f>
        <v>3</v>
      </c>
      <c r="F46" t="s">
        <v>178</v>
      </c>
      <c r="G46" t="s">
        <v>179</v>
      </c>
      <c r="H46" s="2">
        <v>9000000462</v>
      </c>
      <c r="I46" t="s">
        <v>88</v>
      </c>
      <c r="J46" t="s">
        <v>19</v>
      </c>
      <c r="K46" t="s">
        <v>33</v>
      </c>
      <c r="L46" t="s">
        <v>72</v>
      </c>
      <c r="M46" t="s">
        <v>73</v>
      </c>
      <c r="N46" t="s">
        <v>74</v>
      </c>
      <c r="O46" t="s">
        <v>42</v>
      </c>
      <c r="P46" t="s">
        <v>25</v>
      </c>
      <c r="Q46" t="s">
        <v>26</v>
      </c>
      <c r="R46" t="s">
        <v>114</v>
      </c>
      <c r="S46">
        <f>IF(enquiry_analysis_data[[#This Row],[enquiry_status]]="Converted",1,0)</f>
        <v>0</v>
      </c>
      <c r="T46" t="s">
        <v>28</v>
      </c>
    </row>
    <row r="47" spans="1:20" x14ac:dyDescent="0.3">
      <c r="A47">
        <v>403</v>
      </c>
      <c r="B47" s="1">
        <v>45728.408888888887</v>
      </c>
      <c r="C47" s="1" t="str">
        <f>TEXT(enquiry_analysis_data[[#This Row],[enquiry_date]],"mmmm-yyyy")</f>
        <v>March-2025</v>
      </c>
      <c r="D47">
        <f>YEAR(enquiry_analysis_data[[#This Row],[enquiry_date]])</f>
        <v>2025</v>
      </c>
      <c r="E47">
        <f>MONTH(enquiry_analysis_data[[#This Row],[enquiry_date]])</f>
        <v>3</v>
      </c>
      <c r="F47" t="s">
        <v>180</v>
      </c>
      <c r="G47" t="s">
        <v>181</v>
      </c>
      <c r="H47" s="2">
        <v>9000000400</v>
      </c>
      <c r="I47" t="s">
        <v>18</v>
      </c>
      <c r="J47" t="s">
        <v>19</v>
      </c>
      <c r="K47" t="s">
        <v>67</v>
      </c>
      <c r="L47" t="s">
        <v>50</v>
      </c>
      <c r="M47" t="s">
        <v>51</v>
      </c>
      <c r="N47" t="s">
        <v>23</v>
      </c>
      <c r="O47" t="s">
        <v>42</v>
      </c>
      <c r="P47" t="s">
        <v>25</v>
      </c>
      <c r="Q47" t="s">
        <v>37</v>
      </c>
      <c r="R47" t="s">
        <v>68</v>
      </c>
      <c r="S47">
        <f>IF(enquiry_analysis_data[[#This Row],[enquiry_status]]="Converted",1,0)</f>
        <v>1</v>
      </c>
      <c r="T47" t="s">
        <v>28</v>
      </c>
    </row>
    <row r="48" spans="1:20" x14ac:dyDescent="0.3">
      <c r="A48">
        <v>292</v>
      </c>
      <c r="B48" s="1">
        <v>45729.163101851853</v>
      </c>
      <c r="C48" s="1" t="str">
        <f>TEXT(enquiry_analysis_data[[#This Row],[enquiry_date]],"mmmm-yyyy")</f>
        <v>March-2025</v>
      </c>
      <c r="D48">
        <f>YEAR(enquiry_analysis_data[[#This Row],[enquiry_date]])</f>
        <v>2025</v>
      </c>
      <c r="E48">
        <f>MONTH(enquiry_analysis_data[[#This Row],[enquiry_date]])</f>
        <v>3</v>
      </c>
      <c r="F48" t="s">
        <v>182</v>
      </c>
      <c r="G48" t="s">
        <v>183</v>
      </c>
      <c r="H48" s="2">
        <v>9000000289</v>
      </c>
      <c r="I48" t="s">
        <v>18</v>
      </c>
      <c r="J48" t="s">
        <v>19</v>
      </c>
      <c r="K48" t="s">
        <v>67</v>
      </c>
      <c r="L48" t="s">
        <v>60</v>
      </c>
      <c r="M48" t="s">
        <v>61</v>
      </c>
      <c r="N48" t="s">
        <v>62</v>
      </c>
      <c r="O48" t="s">
        <v>42</v>
      </c>
      <c r="P48" t="s">
        <v>43</v>
      </c>
      <c r="Q48" t="s">
        <v>26</v>
      </c>
      <c r="R48" t="s">
        <v>56</v>
      </c>
      <c r="S48">
        <f>IF(enquiry_analysis_data[[#This Row],[enquiry_status]]="Converted",1,0)</f>
        <v>0</v>
      </c>
      <c r="T48" t="s">
        <v>28</v>
      </c>
    </row>
    <row r="49" spans="1:20" x14ac:dyDescent="0.3">
      <c r="A49">
        <v>86</v>
      </c>
      <c r="B49" s="1">
        <v>45729.645289351851</v>
      </c>
      <c r="C49" s="1" t="str">
        <f>TEXT(enquiry_analysis_data[[#This Row],[enquiry_date]],"mmmm-yyyy")</f>
        <v>March-2025</v>
      </c>
      <c r="D49">
        <f>YEAR(enquiry_analysis_data[[#This Row],[enquiry_date]])</f>
        <v>2025</v>
      </c>
      <c r="E49">
        <f>MONTH(enquiry_analysis_data[[#This Row],[enquiry_date]])</f>
        <v>3</v>
      </c>
      <c r="F49" t="s">
        <v>184</v>
      </c>
      <c r="G49" t="s">
        <v>185</v>
      </c>
      <c r="H49" s="2">
        <v>9000000083</v>
      </c>
      <c r="I49" t="s">
        <v>18</v>
      </c>
      <c r="J49" t="s">
        <v>19</v>
      </c>
      <c r="K49" t="s">
        <v>67</v>
      </c>
      <c r="L49" t="s">
        <v>21</v>
      </c>
      <c r="M49" t="s">
        <v>22</v>
      </c>
      <c r="N49" t="s">
        <v>23</v>
      </c>
      <c r="O49" t="s">
        <v>42</v>
      </c>
      <c r="P49" t="s">
        <v>43</v>
      </c>
      <c r="Q49" t="s">
        <v>26</v>
      </c>
      <c r="R49" t="s">
        <v>68</v>
      </c>
      <c r="S49">
        <f>IF(enquiry_analysis_data[[#This Row],[enquiry_status]]="Converted",1,0)</f>
        <v>1</v>
      </c>
      <c r="T49" t="s">
        <v>28</v>
      </c>
    </row>
    <row r="50" spans="1:20" x14ac:dyDescent="0.3">
      <c r="A50">
        <v>288</v>
      </c>
      <c r="B50" s="1">
        <v>45730.69153935185</v>
      </c>
      <c r="C50" s="1" t="str">
        <f>TEXT(enquiry_analysis_data[[#This Row],[enquiry_date]],"mmmm-yyyy")</f>
        <v>March-2025</v>
      </c>
      <c r="D50">
        <f>YEAR(enquiry_analysis_data[[#This Row],[enquiry_date]])</f>
        <v>2025</v>
      </c>
      <c r="E50">
        <f>MONTH(enquiry_analysis_data[[#This Row],[enquiry_date]])</f>
        <v>3</v>
      </c>
      <c r="F50" t="s">
        <v>186</v>
      </c>
      <c r="G50" t="s">
        <v>187</v>
      </c>
      <c r="H50" s="2">
        <v>9000000285</v>
      </c>
      <c r="I50" t="s">
        <v>77</v>
      </c>
      <c r="J50" t="s">
        <v>19</v>
      </c>
      <c r="K50" t="s">
        <v>67</v>
      </c>
      <c r="L50" t="s">
        <v>154</v>
      </c>
      <c r="M50" t="s">
        <v>155</v>
      </c>
      <c r="N50" t="s">
        <v>156</v>
      </c>
      <c r="O50" t="s">
        <v>42</v>
      </c>
      <c r="P50" t="s">
        <v>52</v>
      </c>
      <c r="Q50" t="s">
        <v>26</v>
      </c>
      <c r="R50" t="s">
        <v>68</v>
      </c>
      <c r="S50">
        <f>IF(enquiry_analysis_data[[#This Row],[enquiry_status]]="Converted",1,0)</f>
        <v>1</v>
      </c>
      <c r="T50" t="s">
        <v>28</v>
      </c>
    </row>
    <row r="51" spans="1:20" x14ac:dyDescent="0.3">
      <c r="A51">
        <v>141</v>
      </c>
      <c r="B51" s="1">
        <v>45733.570833333331</v>
      </c>
      <c r="C51" s="1" t="str">
        <f>TEXT(enquiry_analysis_data[[#This Row],[enquiry_date]],"mmmm-yyyy")</f>
        <v>March-2025</v>
      </c>
      <c r="D51">
        <f>YEAR(enquiry_analysis_data[[#This Row],[enquiry_date]])</f>
        <v>2025</v>
      </c>
      <c r="E51">
        <f>MONTH(enquiry_analysis_data[[#This Row],[enquiry_date]])</f>
        <v>3</v>
      </c>
      <c r="F51" t="s">
        <v>188</v>
      </c>
      <c r="G51" t="s">
        <v>189</v>
      </c>
      <c r="H51" s="2">
        <v>9000000138</v>
      </c>
      <c r="I51" t="s">
        <v>31</v>
      </c>
      <c r="J51" t="s">
        <v>19</v>
      </c>
      <c r="K51" t="s">
        <v>33</v>
      </c>
      <c r="L51" t="s">
        <v>78</v>
      </c>
      <c r="M51" t="s">
        <v>79</v>
      </c>
      <c r="N51" t="s">
        <v>80</v>
      </c>
      <c r="O51" t="s">
        <v>42</v>
      </c>
      <c r="P51" t="s">
        <v>43</v>
      </c>
      <c r="Q51" t="s">
        <v>53</v>
      </c>
      <c r="R51" t="s">
        <v>68</v>
      </c>
      <c r="S51">
        <f>IF(enquiry_analysis_data[[#This Row],[enquiry_status]]="Converted",1,0)</f>
        <v>1</v>
      </c>
      <c r="T51" t="s">
        <v>28</v>
      </c>
    </row>
    <row r="52" spans="1:20" x14ac:dyDescent="0.3">
      <c r="A52">
        <v>57</v>
      </c>
      <c r="B52" s="1">
        <v>45734.83803240741</v>
      </c>
      <c r="C52" s="1" t="str">
        <f>TEXT(enquiry_analysis_data[[#This Row],[enquiry_date]],"mmmm-yyyy")</f>
        <v>March-2025</v>
      </c>
      <c r="D52">
        <f>YEAR(enquiry_analysis_data[[#This Row],[enquiry_date]])</f>
        <v>2025</v>
      </c>
      <c r="E52">
        <f>MONTH(enquiry_analysis_data[[#This Row],[enquiry_date]])</f>
        <v>3</v>
      </c>
      <c r="F52" t="s">
        <v>190</v>
      </c>
      <c r="G52" t="s">
        <v>191</v>
      </c>
      <c r="H52" s="2">
        <v>9000000054</v>
      </c>
      <c r="I52" t="s">
        <v>88</v>
      </c>
      <c r="J52" t="s">
        <v>19</v>
      </c>
      <c r="K52" t="s">
        <v>67</v>
      </c>
      <c r="L52" t="s">
        <v>34</v>
      </c>
      <c r="M52" t="s">
        <v>35</v>
      </c>
      <c r="N52" t="s">
        <v>35</v>
      </c>
      <c r="O52" t="s">
        <v>42</v>
      </c>
      <c r="P52" t="s">
        <v>52</v>
      </c>
      <c r="Q52" t="s">
        <v>53</v>
      </c>
      <c r="R52" t="s">
        <v>68</v>
      </c>
      <c r="S52">
        <f>IF(enquiry_analysis_data[[#This Row],[enquiry_status]]="Converted",1,0)</f>
        <v>1</v>
      </c>
      <c r="T52" t="s">
        <v>28</v>
      </c>
    </row>
    <row r="53" spans="1:20" x14ac:dyDescent="0.3">
      <c r="A53">
        <v>398</v>
      </c>
      <c r="B53" s="1">
        <v>45736.263703703706</v>
      </c>
      <c r="C53" s="1" t="str">
        <f>TEXT(enquiry_analysis_data[[#This Row],[enquiry_date]],"mmmm-yyyy")</f>
        <v>March-2025</v>
      </c>
      <c r="D53">
        <f>YEAR(enquiry_analysis_data[[#This Row],[enquiry_date]])</f>
        <v>2025</v>
      </c>
      <c r="E53">
        <f>MONTH(enquiry_analysis_data[[#This Row],[enquiry_date]])</f>
        <v>3</v>
      </c>
      <c r="F53" t="s">
        <v>192</v>
      </c>
      <c r="G53" t="s">
        <v>193</v>
      </c>
      <c r="H53" s="2">
        <v>9000000395</v>
      </c>
      <c r="I53" t="s">
        <v>66</v>
      </c>
      <c r="J53" t="s">
        <v>19</v>
      </c>
      <c r="K53" t="s">
        <v>67</v>
      </c>
      <c r="L53" t="s">
        <v>78</v>
      </c>
      <c r="M53" t="s">
        <v>79</v>
      </c>
      <c r="N53" t="s">
        <v>80</v>
      </c>
      <c r="O53" t="s">
        <v>42</v>
      </c>
      <c r="P53" t="s">
        <v>52</v>
      </c>
      <c r="Q53" t="s">
        <v>53</v>
      </c>
      <c r="R53" t="s">
        <v>194</v>
      </c>
      <c r="S53">
        <f>IF(enquiry_analysis_data[[#This Row],[enquiry_status]]="Converted",1,0)</f>
        <v>0</v>
      </c>
      <c r="T53" t="s">
        <v>28</v>
      </c>
    </row>
    <row r="54" spans="1:20" x14ac:dyDescent="0.3">
      <c r="A54">
        <v>414</v>
      </c>
      <c r="B54" s="1">
        <v>45736.628148148149</v>
      </c>
      <c r="C54" s="1" t="str">
        <f>TEXT(enquiry_analysis_data[[#This Row],[enquiry_date]],"mmmm-yyyy")</f>
        <v>March-2025</v>
      </c>
      <c r="D54">
        <f>YEAR(enquiry_analysis_data[[#This Row],[enquiry_date]])</f>
        <v>2025</v>
      </c>
      <c r="E54">
        <f>MONTH(enquiry_analysis_data[[#This Row],[enquiry_date]])</f>
        <v>3</v>
      </c>
      <c r="F54" t="s">
        <v>195</v>
      </c>
      <c r="G54" t="s">
        <v>196</v>
      </c>
      <c r="H54" s="2">
        <v>9000000411</v>
      </c>
      <c r="I54" t="s">
        <v>77</v>
      </c>
      <c r="J54" t="s">
        <v>49</v>
      </c>
      <c r="K54" t="s">
        <v>20</v>
      </c>
      <c r="L54" t="s">
        <v>72</v>
      </c>
      <c r="M54" t="s">
        <v>73</v>
      </c>
      <c r="N54" t="s">
        <v>74</v>
      </c>
      <c r="O54" t="s">
        <v>42</v>
      </c>
      <c r="P54" t="s">
        <v>36</v>
      </c>
      <c r="Q54" t="s">
        <v>44</v>
      </c>
      <c r="R54" t="s">
        <v>45</v>
      </c>
      <c r="S54">
        <f>IF(enquiry_analysis_data[[#This Row],[enquiry_status]]="Converted",1,0)</f>
        <v>0</v>
      </c>
      <c r="T54" t="s">
        <v>28</v>
      </c>
    </row>
    <row r="55" spans="1:20" x14ac:dyDescent="0.3">
      <c r="A55">
        <v>299</v>
      </c>
      <c r="B55" s="1">
        <v>45736.81658564815</v>
      </c>
      <c r="C55" s="1" t="str">
        <f>TEXT(enquiry_analysis_data[[#This Row],[enquiry_date]],"mmmm-yyyy")</f>
        <v>March-2025</v>
      </c>
      <c r="D55">
        <f>YEAR(enquiry_analysis_data[[#This Row],[enquiry_date]])</f>
        <v>2025</v>
      </c>
      <c r="E55">
        <f>MONTH(enquiry_analysis_data[[#This Row],[enquiry_date]])</f>
        <v>3</v>
      </c>
      <c r="F55" t="s">
        <v>197</v>
      </c>
      <c r="G55" t="s">
        <v>198</v>
      </c>
      <c r="H55" s="2">
        <v>9000000296</v>
      </c>
      <c r="I55" t="s">
        <v>48</v>
      </c>
      <c r="J55" t="s">
        <v>19</v>
      </c>
      <c r="K55" t="s">
        <v>20</v>
      </c>
      <c r="L55" t="s">
        <v>144</v>
      </c>
      <c r="M55" t="s">
        <v>145</v>
      </c>
      <c r="N55" t="s">
        <v>101</v>
      </c>
      <c r="O55" t="s">
        <v>42</v>
      </c>
      <c r="P55" t="s">
        <v>43</v>
      </c>
      <c r="Q55" t="s">
        <v>26</v>
      </c>
      <c r="R55" t="s">
        <v>114</v>
      </c>
      <c r="S55">
        <f>IF(enquiry_analysis_data[[#This Row],[enquiry_status]]="Converted",1,0)</f>
        <v>0</v>
      </c>
      <c r="T55" t="s">
        <v>28</v>
      </c>
    </row>
    <row r="56" spans="1:20" x14ac:dyDescent="0.3">
      <c r="A56">
        <v>382</v>
      </c>
      <c r="B56" s="1">
        <v>45738.552233796298</v>
      </c>
      <c r="C56" s="1" t="str">
        <f>TEXT(enquiry_analysis_data[[#This Row],[enquiry_date]],"mmmm-yyyy")</f>
        <v>March-2025</v>
      </c>
      <c r="D56">
        <f>YEAR(enquiry_analysis_data[[#This Row],[enquiry_date]])</f>
        <v>2025</v>
      </c>
      <c r="E56">
        <f>MONTH(enquiry_analysis_data[[#This Row],[enquiry_date]])</f>
        <v>3</v>
      </c>
      <c r="F56" t="s">
        <v>199</v>
      </c>
      <c r="G56" t="s">
        <v>200</v>
      </c>
      <c r="H56" s="2">
        <v>9000000379</v>
      </c>
      <c r="I56" t="s">
        <v>18</v>
      </c>
      <c r="J56" t="s">
        <v>19</v>
      </c>
      <c r="K56" t="s">
        <v>94</v>
      </c>
      <c r="L56" t="s">
        <v>136</v>
      </c>
      <c r="M56" t="s">
        <v>137</v>
      </c>
      <c r="N56" t="s">
        <v>62</v>
      </c>
      <c r="O56" t="s">
        <v>42</v>
      </c>
      <c r="P56" t="s">
        <v>25</v>
      </c>
      <c r="Q56" t="s">
        <v>44</v>
      </c>
      <c r="R56" t="s">
        <v>45</v>
      </c>
      <c r="S56">
        <f>IF(enquiry_analysis_data[[#This Row],[enquiry_status]]="Converted",1,0)</f>
        <v>0</v>
      </c>
      <c r="T56" t="s">
        <v>28</v>
      </c>
    </row>
    <row r="57" spans="1:20" x14ac:dyDescent="0.3">
      <c r="A57">
        <v>83</v>
      </c>
      <c r="B57" s="1">
        <v>45738.843935185185</v>
      </c>
      <c r="C57" s="1" t="str">
        <f>TEXT(enquiry_analysis_data[[#This Row],[enquiry_date]],"mmmm-yyyy")</f>
        <v>March-2025</v>
      </c>
      <c r="D57">
        <f>YEAR(enquiry_analysis_data[[#This Row],[enquiry_date]])</f>
        <v>2025</v>
      </c>
      <c r="E57">
        <f>MONTH(enquiry_analysis_data[[#This Row],[enquiry_date]])</f>
        <v>3</v>
      </c>
      <c r="F57" t="s">
        <v>201</v>
      </c>
      <c r="G57" t="s">
        <v>202</v>
      </c>
      <c r="H57" s="2">
        <v>9000000080</v>
      </c>
      <c r="I57" t="s">
        <v>59</v>
      </c>
      <c r="J57" t="s">
        <v>19</v>
      </c>
      <c r="K57" t="s">
        <v>33</v>
      </c>
      <c r="L57" t="s">
        <v>136</v>
      </c>
      <c r="M57" t="s">
        <v>137</v>
      </c>
      <c r="N57" t="s">
        <v>62</v>
      </c>
      <c r="O57" t="s">
        <v>24</v>
      </c>
      <c r="P57" t="s">
        <v>43</v>
      </c>
      <c r="Q57" t="s">
        <v>53</v>
      </c>
      <c r="R57" t="s">
        <v>27</v>
      </c>
      <c r="S57">
        <f>IF(enquiry_analysis_data[[#This Row],[enquiry_status]]="Converted",1,0)</f>
        <v>0</v>
      </c>
      <c r="T57" t="s">
        <v>28</v>
      </c>
    </row>
    <row r="58" spans="1:20" x14ac:dyDescent="0.3">
      <c r="A58">
        <v>45</v>
      </c>
      <c r="B58" s="1">
        <v>45739.620127314818</v>
      </c>
      <c r="C58" s="1" t="str">
        <f>TEXT(enquiry_analysis_data[[#This Row],[enquiry_date]],"mmmm-yyyy")</f>
        <v>March-2025</v>
      </c>
      <c r="D58">
        <f>YEAR(enquiry_analysis_data[[#This Row],[enquiry_date]])</f>
        <v>2025</v>
      </c>
      <c r="E58">
        <f>MONTH(enquiry_analysis_data[[#This Row],[enquiry_date]])</f>
        <v>3</v>
      </c>
      <c r="F58" t="s">
        <v>203</v>
      </c>
      <c r="G58" t="s">
        <v>204</v>
      </c>
      <c r="H58" s="2">
        <v>9000000042</v>
      </c>
      <c r="I58" t="s">
        <v>93</v>
      </c>
      <c r="J58" t="s">
        <v>49</v>
      </c>
      <c r="K58" t="s">
        <v>20</v>
      </c>
      <c r="L58" t="s">
        <v>99</v>
      </c>
      <c r="M58" t="s">
        <v>100</v>
      </c>
      <c r="N58" t="s">
        <v>101</v>
      </c>
      <c r="O58" t="s">
        <v>42</v>
      </c>
      <c r="P58" t="s">
        <v>25</v>
      </c>
      <c r="Q58" t="s">
        <v>141</v>
      </c>
      <c r="R58" t="s">
        <v>56</v>
      </c>
      <c r="S58">
        <f>IF(enquiry_analysis_data[[#This Row],[enquiry_status]]="Converted",1,0)</f>
        <v>0</v>
      </c>
      <c r="T58" t="s">
        <v>28</v>
      </c>
    </row>
    <row r="59" spans="1:20" x14ac:dyDescent="0.3">
      <c r="A59">
        <v>144</v>
      </c>
      <c r="B59" s="1">
        <v>45741.870451388888</v>
      </c>
      <c r="C59" s="1" t="str">
        <f>TEXT(enquiry_analysis_data[[#This Row],[enquiry_date]],"mmmm-yyyy")</f>
        <v>March-2025</v>
      </c>
      <c r="D59">
        <f>YEAR(enquiry_analysis_data[[#This Row],[enquiry_date]])</f>
        <v>2025</v>
      </c>
      <c r="E59">
        <f>MONTH(enquiry_analysis_data[[#This Row],[enquiry_date]])</f>
        <v>3</v>
      </c>
      <c r="F59" t="s">
        <v>205</v>
      </c>
      <c r="G59" t="s">
        <v>206</v>
      </c>
      <c r="H59" s="2">
        <v>9000000141</v>
      </c>
      <c r="I59" t="s">
        <v>71</v>
      </c>
      <c r="J59" t="s">
        <v>128</v>
      </c>
      <c r="K59" t="s">
        <v>33</v>
      </c>
      <c r="L59" t="s">
        <v>106</v>
      </c>
      <c r="M59" t="s">
        <v>107</v>
      </c>
      <c r="N59" t="s">
        <v>108</v>
      </c>
      <c r="O59" t="s">
        <v>42</v>
      </c>
      <c r="P59" t="s">
        <v>25</v>
      </c>
      <c r="Q59" t="s">
        <v>141</v>
      </c>
      <c r="R59" t="s">
        <v>45</v>
      </c>
      <c r="S59">
        <f>IF(enquiry_analysis_data[[#This Row],[enquiry_status]]="Converted",1,0)</f>
        <v>0</v>
      </c>
      <c r="T59" t="s">
        <v>28</v>
      </c>
    </row>
    <row r="60" spans="1:20" x14ac:dyDescent="0.3">
      <c r="A60">
        <v>468</v>
      </c>
      <c r="B60" s="1">
        <v>45744.807164351849</v>
      </c>
      <c r="C60" s="1" t="str">
        <f>TEXT(enquiry_analysis_data[[#This Row],[enquiry_date]],"mmmm-yyyy")</f>
        <v>March-2025</v>
      </c>
      <c r="D60">
        <f>YEAR(enquiry_analysis_data[[#This Row],[enquiry_date]])</f>
        <v>2025</v>
      </c>
      <c r="E60">
        <f>MONTH(enquiry_analysis_data[[#This Row],[enquiry_date]])</f>
        <v>3</v>
      </c>
      <c r="F60" t="s">
        <v>207</v>
      </c>
      <c r="G60" t="s">
        <v>208</v>
      </c>
      <c r="H60" s="2">
        <v>9000000465</v>
      </c>
      <c r="I60" t="s">
        <v>48</v>
      </c>
      <c r="J60" t="s">
        <v>128</v>
      </c>
      <c r="K60" t="s">
        <v>20</v>
      </c>
      <c r="L60" t="s">
        <v>144</v>
      </c>
      <c r="M60" t="s">
        <v>145</v>
      </c>
      <c r="N60" t="s">
        <v>101</v>
      </c>
      <c r="O60" t="s">
        <v>42</v>
      </c>
      <c r="P60" t="s">
        <v>25</v>
      </c>
      <c r="Q60" t="s">
        <v>53</v>
      </c>
      <c r="R60" t="s">
        <v>45</v>
      </c>
      <c r="S60">
        <f>IF(enquiry_analysis_data[[#This Row],[enquiry_status]]="Converted",1,0)</f>
        <v>0</v>
      </c>
      <c r="T60" t="s">
        <v>28</v>
      </c>
    </row>
    <row r="61" spans="1:20" x14ac:dyDescent="0.3">
      <c r="A61">
        <v>49</v>
      </c>
      <c r="B61" s="1">
        <v>45746.502847222226</v>
      </c>
      <c r="C61" s="1" t="str">
        <f>TEXT(enquiry_analysis_data[[#This Row],[enquiry_date]],"mmmm-yyyy")</f>
        <v>March-2025</v>
      </c>
      <c r="D61">
        <f>YEAR(enquiry_analysis_data[[#This Row],[enquiry_date]])</f>
        <v>2025</v>
      </c>
      <c r="E61">
        <f>MONTH(enquiry_analysis_data[[#This Row],[enquiry_date]])</f>
        <v>3</v>
      </c>
      <c r="F61" t="s">
        <v>209</v>
      </c>
      <c r="G61" t="s">
        <v>210</v>
      </c>
      <c r="H61" s="2">
        <v>9000000046</v>
      </c>
      <c r="I61" t="s">
        <v>123</v>
      </c>
      <c r="J61" t="s">
        <v>19</v>
      </c>
      <c r="K61" t="s">
        <v>20</v>
      </c>
      <c r="L61" t="s">
        <v>106</v>
      </c>
      <c r="M61" t="s">
        <v>107</v>
      </c>
      <c r="N61" t="s">
        <v>108</v>
      </c>
      <c r="O61" t="s">
        <v>24</v>
      </c>
      <c r="P61" t="s">
        <v>43</v>
      </c>
      <c r="Q61" t="s">
        <v>63</v>
      </c>
      <c r="R61" t="s">
        <v>45</v>
      </c>
      <c r="S61">
        <f>IF(enquiry_analysis_data[[#This Row],[enquiry_status]]="Converted",1,0)</f>
        <v>0</v>
      </c>
      <c r="T61" t="s">
        <v>28</v>
      </c>
    </row>
    <row r="62" spans="1:20" x14ac:dyDescent="0.3">
      <c r="A62">
        <v>76</v>
      </c>
      <c r="B62" s="1">
        <v>45746.649016203701</v>
      </c>
      <c r="C62" s="1" t="str">
        <f>TEXT(enquiry_analysis_data[[#This Row],[enquiry_date]],"mmmm-yyyy")</f>
        <v>March-2025</v>
      </c>
      <c r="D62">
        <f>YEAR(enquiry_analysis_data[[#This Row],[enquiry_date]])</f>
        <v>2025</v>
      </c>
      <c r="E62">
        <f>MONTH(enquiry_analysis_data[[#This Row],[enquiry_date]])</f>
        <v>3</v>
      </c>
      <c r="F62" t="s">
        <v>211</v>
      </c>
      <c r="G62" t="s">
        <v>212</v>
      </c>
      <c r="H62" s="2">
        <v>9000000073</v>
      </c>
      <c r="I62" t="s">
        <v>88</v>
      </c>
      <c r="J62" t="s">
        <v>19</v>
      </c>
      <c r="K62" t="s">
        <v>67</v>
      </c>
      <c r="L62" t="s">
        <v>154</v>
      </c>
      <c r="M62" t="s">
        <v>155</v>
      </c>
      <c r="N62" t="s">
        <v>156</v>
      </c>
      <c r="O62" t="s">
        <v>42</v>
      </c>
      <c r="P62" t="s">
        <v>52</v>
      </c>
      <c r="Q62" t="s">
        <v>83</v>
      </c>
      <c r="R62" t="s">
        <v>56</v>
      </c>
      <c r="S62">
        <f>IF(enquiry_analysis_data[[#This Row],[enquiry_status]]="Converted",1,0)</f>
        <v>0</v>
      </c>
      <c r="T62" t="s">
        <v>28</v>
      </c>
    </row>
    <row r="63" spans="1:20" x14ac:dyDescent="0.3">
      <c r="A63">
        <v>328</v>
      </c>
      <c r="B63" s="1">
        <v>45746.931157407409</v>
      </c>
      <c r="C63" s="1" t="str">
        <f>TEXT(enquiry_analysis_data[[#This Row],[enquiry_date]],"mmmm-yyyy")</f>
        <v>March-2025</v>
      </c>
      <c r="D63">
        <f>YEAR(enquiry_analysis_data[[#This Row],[enquiry_date]])</f>
        <v>2025</v>
      </c>
      <c r="E63">
        <f>MONTH(enquiry_analysis_data[[#This Row],[enquiry_date]])</f>
        <v>3</v>
      </c>
      <c r="F63" t="s">
        <v>213</v>
      </c>
      <c r="G63" t="s">
        <v>214</v>
      </c>
      <c r="H63" s="2">
        <v>9000000325</v>
      </c>
      <c r="I63" t="s">
        <v>88</v>
      </c>
      <c r="J63" t="s">
        <v>19</v>
      </c>
      <c r="K63" t="s">
        <v>33</v>
      </c>
      <c r="L63" t="s">
        <v>60</v>
      </c>
      <c r="M63" t="s">
        <v>61</v>
      </c>
      <c r="N63" t="s">
        <v>62</v>
      </c>
      <c r="O63" t="s">
        <v>24</v>
      </c>
      <c r="P63" t="s">
        <v>25</v>
      </c>
      <c r="Q63" t="s">
        <v>63</v>
      </c>
      <c r="R63" t="s">
        <v>68</v>
      </c>
      <c r="S63">
        <f>IF(enquiry_analysis_data[[#This Row],[enquiry_status]]="Converted",1,0)</f>
        <v>1</v>
      </c>
      <c r="T63" t="s">
        <v>28</v>
      </c>
    </row>
    <row r="64" spans="1:20" x14ac:dyDescent="0.3">
      <c r="A64">
        <v>66</v>
      </c>
      <c r="B64" s="1">
        <v>45747.829953703702</v>
      </c>
      <c r="C64" s="1" t="str">
        <f>TEXT(enquiry_analysis_data[[#This Row],[enquiry_date]],"mmmm-yyyy")</f>
        <v>March-2025</v>
      </c>
      <c r="D64">
        <f>YEAR(enquiry_analysis_data[[#This Row],[enquiry_date]])</f>
        <v>2025</v>
      </c>
      <c r="E64">
        <f>MONTH(enquiry_analysis_data[[#This Row],[enquiry_date]])</f>
        <v>3</v>
      </c>
      <c r="F64" t="s">
        <v>215</v>
      </c>
      <c r="G64" t="s">
        <v>216</v>
      </c>
      <c r="H64" s="2">
        <v>9000000063</v>
      </c>
      <c r="I64" t="s">
        <v>123</v>
      </c>
      <c r="J64" t="s">
        <v>37</v>
      </c>
      <c r="K64" t="s">
        <v>67</v>
      </c>
      <c r="L64" t="s">
        <v>144</v>
      </c>
      <c r="M64" t="s">
        <v>145</v>
      </c>
      <c r="N64" t="s">
        <v>101</v>
      </c>
      <c r="O64" t="s">
        <v>42</v>
      </c>
      <c r="P64" t="s">
        <v>36</v>
      </c>
      <c r="Q64" t="s">
        <v>63</v>
      </c>
      <c r="R64" t="s">
        <v>114</v>
      </c>
      <c r="S64">
        <f>IF(enquiry_analysis_data[[#This Row],[enquiry_status]]="Converted",1,0)</f>
        <v>0</v>
      </c>
      <c r="T64" t="s">
        <v>28</v>
      </c>
    </row>
    <row r="65" spans="1:20" x14ac:dyDescent="0.3">
      <c r="A65">
        <v>340</v>
      </c>
      <c r="B65" s="1">
        <v>45750.577326388891</v>
      </c>
      <c r="C65" s="1" t="str">
        <f>TEXT(enquiry_analysis_data[[#This Row],[enquiry_date]],"mmmm-yyyy")</f>
        <v>April-2025</v>
      </c>
      <c r="D65">
        <f>YEAR(enquiry_analysis_data[[#This Row],[enquiry_date]])</f>
        <v>2025</v>
      </c>
      <c r="E65">
        <f>MONTH(enquiry_analysis_data[[#This Row],[enquiry_date]])</f>
        <v>4</v>
      </c>
      <c r="F65" t="s">
        <v>217</v>
      </c>
      <c r="G65" t="s">
        <v>218</v>
      </c>
      <c r="H65" s="2">
        <v>9000000337</v>
      </c>
      <c r="I65" t="s">
        <v>123</v>
      </c>
      <c r="J65" t="s">
        <v>19</v>
      </c>
      <c r="K65" t="s">
        <v>33</v>
      </c>
      <c r="L65" t="s">
        <v>136</v>
      </c>
      <c r="M65" t="s">
        <v>137</v>
      </c>
      <c r="N65" t="s">
        <v>62</v>
      </c>
      <c r="O65" t="s">
        <v>24</v>
      </c>
      <c r="P65" t="s">
        <v>52</v>
      </c>
      <c r="Q65" t="s">
        <v>26</v>
      </c>
      <c r="R65" t="s">
        <v>27</v>
      </c>
      <c r="S65">
        <f>IF(enquiry_analysis_data[[#This Row],[enquiry_status]]="Converted",1,0)</f>
        <v>0</v>
      </c>
      <c r="T65" t="s">
        <v>28</v>
      </c>
    </row>
    <row r="66" spans="1:20" x14ac:dyDescent="0.3">
      <c r="A66">
        <v>12</v>
      </c>
      <c r="B66" s="1">
        <v>45752.637002314812</v>
      </c>
      <c r="C66" s="1" t="str">
        <f>TEXT(enquiry_analysis_data[[#This Row],[enquiry_date]],"mmmm-yyyy")</f>
        <v>April-2025</v>
      </c>
      <c r="D66">
        <f>YEAR(enquiry_analysis_data[[#This Row],[enquiry_date]])</f>
        <v>2025</v>
      </c>
      <c r="E66">
        <f>MONTH(enquiry_analysis_data[[#This Row],[enquiry_date]])</f>
        <v>4</v>
      </c>
      <c r="F66" t="s">
        <v>219</v>
      </c>
      <c r="G66" t="s">
        <v>220</v>
      </c>
      <c r="H66" s="2">
        <v>9000000009</v>
      </c>
      <c r="I66" t="s">
        <v>123</v>
      </c>
      <c r="J66" t="s">
        <v>128</v>
      </c>
      <c r="K66" t="s">
        <v>33</v>
      </c>
      <c r="L66" t="s">
        <v>111</v>
      </c>
      <c r="M66" t="s">
        <v>112</v>
      </c>
      <c r="N66" t="s">
        <v>113</v>
      </c>
      <c r="O66" t="s">
        <v>42</v>
      </c>
      <c r="P66" t="s">
        <v>25</v>
      </c>
      <c r="Q66" t="s">
        <v>37</v>
      </c>
      <c r="R66" t="s">
        <v>27</v>
      </c>
      <c r="S66">
        <f>IF(enquiry_analysis_data[[#This Row],[enquiry_status]]="Converted",1,0)</f>
        <v>0</v>
      </c>
      <c r="T66" t="s">
        <v>28</v>
      </c>
    </row>
    <row r="67" spans="1:20" x14ac:dyDescent="0.3">
      <c r="A67">
        <v>370</v>
      </c>
      <c r="B67" s="1">
        <v>45754.094571759262</v>
      </c>
      <c r="C67" s="1" t="str">
        <f>TEXT(enquiry_analysis_data[[#This Row],[enquiry_date]],"mmmm-yyyy")</f>
        <v>April-2025</v>
      </c>
      <c r="D67">
        <f>YEAR(enquiry_analysis_data[[#This Row],[enquiry_date]])</f>
        <v>2025</v>
      </c>
      <c r="E67">
        <f>MONTH(enquiry_analysis_data[[#This Row],[enquiry_date]])</f>
        <v>4</v>
      </c>
      <c r="F67" t="s">
        <v>221</v>
      </c>
      <c r="G67" t="s">
        <v>222</v>
      </c>
      <c r="H67" s="2">
        <v>9000000367</v>
      </c>
      <c r="I67" t="s">
        <v>31</v>
      </c>
      <c r="J67" t="s">
        <v>128</v>
      </c>
      <c r="K67" t="s">
        <v>67</v>
      </c>
      <c r="L67" t="s">
        <v>78</v>
      </c>
      <c r="M67" t="s">
        <v>79</v>
      </c>
      <c r="N67" t="s">
        <v>80</v>
      </c>
      <c r="O67" t="s">
        <v>42</v>
      </c>
      <c r="P67" t="s">
        <v>52</v>
      </c>
      <c r="Q67" t="s">
        <v>26</v>
      </c>
      <c r="R67" t="s">
        <v>27</v>
      </c>
      <c r="S67">
        <f>IF(enquiry_analysis_data[[#This Row],[enquiry_status]]="Converted",1,0)</f>
        <v>0</v>
      </c>
      <c r="T67" t="s">
        <v>28</v>
      </c>
    </row>
    <row r="68" spans="1:20" x14ac:dyDescent="0.3">
      <c r="A68">
        <v>110</v>
      </c>
      <c r="B68" s="1">
        <v>45755.215081018519</v>
      </c>
      <c r="C68" s="1" t="str">
        <f>TEXT(enquiry_analysis_data[[#This Row],[enquiry_date]],"mmmm-yyyy")</f>
        <v>April-2025</v>
      </c>
      <c r="D68">
        <f>YEAR(enquiry_analysis_data[[#This Row],[enquiry_date]])</f>
        <v>2025</v>
      </c>
      <c r="E68">
        <f>MONTH(enquiry_analysis_data[[#This Row],[enquiry_date]])</f>
        <v>4</v>
      </c>
      <c r="F68" t="s">
        <v>223</v>
      </c>
      <c r="G68" t="s">
        <v>224</v>
      </c>
      <c r="H68" s="2">
        <v>9000000107</v>
      </c>
      <c r="I68" t="s">
        <v>48</v>
      </c>
      <c r="J68" t="s">
        <v>128</v>
      </c>
      <c r="K68" t="s">
        <v>67</v>
      </c>
      <c r="L68" t="s">
        <v>106</v>
      </c>
      <c r="M68" t="s">
        <v>107</v>
      </c>
      <c r="N68" t="s">
        <v>108</v>
      </c>
      <c r="O68" t="s">
        <v>24</v>
      </c>
      <c r="P68" t="s">
        <v>25</v>
      </c>
      <c r="Q68" t="s">
        <v>26</v>
      </c>
      <c r="R68" t="s">
        <v>45</v>
      </c>
      <c r="S68">
        <f>IF(enquiry_analysis_data[[#This Row],[enquiry_status]]="Converted",1,0)</f>
        <v>0</v>
      </c>
      <c r="T68" t="s">
        <v>28</v>
      </c>
    </row>
    <row r="69" spans="1:20" x14ac:dyDescent="0.3">
      <c r="A69">
        <v>73</v>
      </c>
      <c r="B69" s="1">
        <v>45756.182962962965</v>
      </c>
      <c r="C69" s="1" t="str">
        <f>TEXT(enquiry_analysis_data[[#This Row],[enquiry_date]],"mmmm-yyyy")</f>
        <v>April-2025</v>
      </c>
      <c r="D69">
        <f>YEAR(enquiry_analysis_data[[#This Row],[enquiry_date]])</f>
        <v>2025</v>
      </c>
      <c r="E69">
        <f>MONTH(enquiry_analysis_data[[#This Row],[enquiry_date]])</f>
        <v>4</v>
      </c>
      <c r="F69" t="s">
        <v>225</v>
      </c>
      <c r="G69" t="s">
        <v>226</v>
      </c>
      <c r="H69" s="2">
        <v>9000000070</v>
      </c>
      <c r="I69" t="s">
        <v>59</v>
      </c>
      <c r="J69" t="s">
        <v>19</v>
      </c>
      <c r="K69" t="s">
        <v>67</v>
      </c>
      <c r="L69" t="s">
        <v>40</v>
      </c>
      <c r="M69" t="s">
        <v>41</v>
      </c>
      <c r="N69" t="s">
        <v>41</v>
      </c>
      <c r="O69" t="s">
        <v>24</v>
      </c>
      <c r="P69" t="s">
        <v>36</v>
      </c>
      <c r="Q69" t="s">
        <v>63</v>
      </c>
      <c r="R69" t="s">
        <v>68</v>
      </c>
      <c r="S69">
        <f>IF(enquiry_analysis_data[[#This Row],[enquiry_status]]="Converted",1,0)</f>
        <v>1</v>
      </c>
      <c r="T69" t="s">
        <v>28</v>
      </c>
    </row>
    <row r="70" spans="1:20" x14ac:dyDescent="0.3">
      <c r="A70">
        <v>412</v>
      </c>
      <c r="B70" s="1">
        <v>45757.986574074072</v>
      </c>
      <c r="C70" s="1" t="str">
        <f>TEXT(enquiry_analysis_data[[#This Row],[enquiry_date]],"mmmm-yyyy")</f>
        <v>April-2025</v>
      </c>
      <c r="D70">
        <f>YEAR(enquiry_analysis_data[[#This Row],[enquiry_date]])</f>
        <v>2025</v>
      </c>
      <c r="E70">
        <f>MONTH(enquiry_analysis_data[[#This Row],[enquiry_date]])</f>
        <v>4</v>
      </c>
      <c r="F70" t="s">
        <v>227</v>
      </c>
      <c r="G70" t="s">
        <v>228</v>
      </c>
      <c r="H70" s="2">
        <v>9000000409</v>
      </c>
      <c r="I70" t="s">
        <v>31</v>
      </c>
      <c r="J70" t="s">
        <v>128</v>
      </c>
      <c r="K70" t="s">
        <v>20</v>
      </c>
      <c r="L70" t="s">
        <v>72</v>
      </c>
      <c r="M70" t="s">
        <v>73</v>
      </c>
      <c r="N70" t="s">
        <v>74</v>
      </c>
      <c r="O70" t="s">
        <v>42</v>
      </c>
      <c r="P70" t="s">
        <v>43</v>
      </c>
      <c r="Q70" t="s">
        <v>63</v>
      </c>
      <c r="R70" t="s">
        <v>45</v>
      </c>
      <c r="S70">
        <f>IF(enquiry_analysis_data[[#This Row],[enquiry_status]]="Converted",1,0)</f>
        <v>0</v>
      </c>
      <c r="T70" t="s">
        <v>28</v>
      </c>
    </row>
    <row r="71" spans="1:20" x14ac:dyDescent="0.3">
      <c r="A71">
        <v>324</v>
      </c>
      <c r="B71" s="1">
        <v>45760.285532407404</v>
      </c>
      <c r="C71" s="1" t="str">
        <f>TEXT(enquiry_analysis_data[[#This Row],[enquiry_date]],"mmmm-yyyy")</f>
        <v>April-2025</v>
      </c>
      <c r="D71">
        <f>YEAR(enquiry_analysis_data[[#This Row],[enquiry_date]])</f>
        <v>2025</v>
      </c>
      <c r="E71">
        <f>MONTH(enquiry_analysis_data[[#This Row],[enquiry_date]])</f>
        <v>4</v>
      </c>
      <c r="F71" t="s">
        <v>229</v>
      </c>
      <c r="G71" t="s">
        <v>230</v>
      </c>
      <c r="H71" s="2">
        <v>9000000321</v>
      </c>
      <c r="I71" t="s">
        <v>66</v>
      </c>
      <c r="J71" t="s">
        <v>19</v>
      </c>
      <c r="K71" t="s">
        <v>20</v>
      </c>
      <c r="L71" t="s">
        <v>117</v>
      </c>
      <c r="M71" t="s">
        <v>118</v>
      </c>
      <c r="N71" t="s">
        <v>119</v>
      </c>
      <c r="O71" t="s">
        <v>42</v>
      </c>
      <c r="P71" t="s">
        <v>52</v>
      </c>
      <c r="Q71" t="s">
        <v>26</v>
      </c>
      <c r="R71" t="s">
        <v>27</v>
      </c>
      <c r="S71">
        <f>IF(enquiry_analysis_data[[#This Row],[enquiry_status]]="Converted",1,0)</f>
        <v>0</v>
      </c>
      <c r="T71" t="s">
        <v>28</v>
      </c>
    </row>
    <row r="72" spans="1:20" x14ac:dyDescent="0.3">
      <c r="A72">
        <v>346</v>
      </c>
      <c r="B72" s="1">
        <v>45762.949872685182</v>
      </c>
      <c r="C72" s="1" t="str">
        <f>TEXT(enquiry_analysis_data[[#This Row],[enquiry_date]],"mmmm-yyyy")</f>
        <v>April-2025</v>
      </c>
      <c r="D72">
        <f>YEAR(enquiry_analysis_data[[#This Row],[enquiry_date]])</f>
        <v>2025</v>
      </c>
      <c r="E72">
        <f>MONTH(enquiry_analysis_data[[#This Row],[enquiry_date]])</f>
        <v>4</v>
      </c>
      <c r="F72" t="s">
        <v>231</v>
      </c>
      <c r="G72" t="s">
        <v>232</v>
      </c>
      <c r="H72" s="2">
        <v>9000000343</v>
      </c>
      <c r="I72" t="s">
        <v>123</v>
      </c>
      <c r="J72" t="s">
        <v>49</v>
      </c>
      <c r="K72" t="s">
        <v>33</v>
      </c>
      <c r="L72" t="s">
        <v>154</v>
      </c>
      <c r="M72" t="s">
        <v>155</v>
      </c>
      <c r="N72" t="s">
        <v>156</v>
      </c>
      <c r="O72" t="s">
        <v>24</v>
      </c>
      <c r="P72" t="s">
        <v>43</v>
      </c>
      <c r="Q72" t="s">
        <v>63</v>
      </c>
      <c r="R72" t="s">
        <v>114</v>
      </c>
      <c r="S72">
        <f>IF(enquiry_analysis_data[[#This Row],[enquiry_status]]="Converted",1,0)</f>
        <v>0</v>
      </c>
      <c r="T72" t="s">
        <v>28</v>
      </c>
    </row>
    <row r="73" spans="1:20" x14ac:dyDescent="0.3">
      <c r="A73">
        <v>304</v>
      </c>
      <c r="B73" s="1">
        <v>45763.737326388888</v>
      </c>
      <c r="C73" s="1" t="str">
        <f>TEXT(enquiry_analysis_data[[#This Row],[enquiry_date]],"mmmm-yyyy")</f>
        <v>April-2025</v>
      </c>
      <c r="D73">
        <f>YEAR(enquiry_analysis_data[[#This Row],[enquiry_date]])</f>
        <v>2025</v>
      </c>
      <c r="E73">
        <f>MONTH(enquiry_analysis_data[[#This Row],[enquiry_date]])</f>
        <v>4</v>
      </c>
      <c r="F73" t="s">
        <v>233</v>
      </c>
      <c r="G73" t="s">
        <v>234</v>
      </c>
      <c r="H73" s="2">
        <v>9000000301</v>
      </c>
      <c r="I73" t="s">
        <v>18</v>
      </c>
      <c r="J73" t="s">
        <v>32</v>
      </c>
      <c r="K73" t="s">
        <v>67</v>
      </c>
      <c r="L73" t="s">
        <v>34</v>
      </c>
      <c r="M73" t="s">
        <v>35</v>
      </c>
      <c r="N73" t="s">
        <v>35</v>
      </c>
      <c r="O73" t="s">
        <v>24</v>
      </c>
      <c r="P73" t="s">
        <v>36</v>
      </c>
      <c r="Q73" t="s">
        <v>53</v>
      </c>
      <c r="R73" t="s">
        <v>27</v>
      </c>
      <c r="S73">
        <f>IF(enquiry_analysis_data[[#This Row],[enquiry_status]]="Converted",1,0)</f>
        <v>0</v>
      </c>
      <c r="T73" t="s">
        <v>28</v>
      </c>
    </row>
    <row r="74" spans="1:20" x14ac:dyDescent="0.3">
      <c r="A74">
        <v>178</v>
      </c>
      <c r="B74" s="1">
        <v>45767.221516203703</v>
      </c>
      <c r="C74" s="1" t="str">
        <f>TEXT(enquiry_analysis_data[[#This Row],[enquiry_date]],"mmmm-yyyy")</f>
        <v>April-2025</v>
      </c>
      <c r="D74">
        <f>YEAR(enquiry_analysis_data[[#This Row],[enquiry_date]])</f>
        <v>2025</v>
      </c>
      <c r="E74">
        <f>MONTH(enquiry_analysis_data[[#This Row],[enquiry_date]])</f>
        <v>4</v>
      </c>
      <c r="F74" t="s">
        <v>235</v>
      </c>
      <c r="G74" t="s">
        <v>236</v>
      </c>
      <c r="H74" s="2">
        <v>9000000175</v>
      </c>
      <c r="I74" t="s">
        <v>18</v>
      </c>
      <c r="J74" t="s">
        <v>37</v>
      </c>
      <c r="K74" t="s">
        <v>67</v>
      </c>
      <c r="L74" t="s">
        <v>21</v>
      </c>
      <c r="M74" t="s">
        <v>22</v>
      </c>
      <c r="N74" t="s">
        <v>23</v>
      </c>
      <c r="O74" t="s">
        <v>24</v>
      </c>
      <c r="P74" t="s">
        <v>25</v>
      </c>
      <c r="Q74" t="s">
        <v>44</v>
      </c>
      <c r="R74" t="s">
        <v>114</v>
      </c>
      <c r="S74">
        <f>IF(enquiry_analysis_data[[#This Row],[enquiry_status]]="Converted",1,0)</f>
        <v>0</v>
      </c>
      <c r="T74" t="s">
        <v>28</v>
      </c>
    </row>
    <row r="75" spans="1:20" x14ac:dyDescent="0.3">
      <c r="A75">
        <v>280</v>
      </c>
      <c r="B75" s="1">
        <v>45768.399872685186</v>
      </c>
      <c r="C75" s="1" t="str">
        <f>TEXT(enquiry_analysis_data[[#This Row],[enquiry_date]],"mmmm-yyyy")</f>
        <v>April-2025</v>
      </c>
      <c r="D75">
        <f>YEAR(enquiry_analysis_data[[#This Row],[enquiry_date]])</f>
        <v>2025</v>
      </c>
      <c r="E75">
        <f>MONTH(enquiry_analysis_data[[#This Row],[enquiry_date]])</f>
        <v>4</v>
      </c>
      <c r="F75" t="s">
        <v>237</v>
      </c>
      <c r="G75" t="s">
        <v>238</v>
      </c>
      <c r="H75" s="2">
        <v>9000000277</v>
      </c>
      <c r="I75" t="s">
        <v>88</v>
      </c>
      <c r="J75" t="s">
        <v>19</v>
      </c>
      <c r="K75" t="s">
        <v>20</v>
      </c>
      <c r="L75" t="s">
        <v>117</v>
      </c>
      <c r="M75" t="s">
        <v>118</v>
      </c>
      <c r="N75" t="s">
        <v>119</v>
      </c>
      <c r="O75" t="s">
        <v>42</v>
      </c>
      <c r="P75" t="s">
        <v>52</v>
      </c>
      <c r="Q75" t="s">
        <v>26</v>
      </c>
      <c r="R75" t="s">
        <v>56</v>
      </c>
      <c r="S75">
        <f>IF(enquiry_analysis_data[[#This Row],[enquiry_status]]="Converted",1,0)</f>
        <v>0</v>
      </c>
      <c r="T75" t="s">
        <v>28</v>
      </c>
    </row>
    <row r="76" spans="1:20" x14ac:dyDescent="0.3">
      <c r="A76">
        <v>300</v>
      </c>
      <c r="B76" s="1">
        <v>45770.108668981484</v>
      </c>
      <c r="C76" s="1" t="str">
        <f>TEXT(enquiry_analysis_data[[#This Row],[enquiry_date]],"mmmm-yyyy")</f>
        <v>April-2025</v>
      </c>
      <c r="D76">
        <f>YEAR(enquiry_analysis_data[[#This Row],[enquiry_date]])</f>
        <v>2025</v>
      </c>
      <c r="E76">
        <f>MONTH(enquiry_analysis_data[[#This Row],[enquiry_date]])</f>
        <v>4</v>
      </c>
      <c r="F76" t="s">
        <v>239</v>
      </c>
      <c r="G76" t="s">
        <v>240</v>
      </c>
      <c r="H76" s="2">
        <v>9000000297</v>
      </c>
      <c r="I76" t="s">
        <v>59</v>
      </c>
      <c r="J76" t="s">
        <v>128</v>
      </c>
      <c r="K76" t="s">
        <v>20</v>
      </c>
      <c r="L76" t="s">
        <v>34</v>
      </c>
      <c r="M76" t="s">
        <v>35</v>
      </c>
      <c r="N76" t="s">
        <v>35</v>
      </c>
      <c r="O76" t="s">
        <v>42</v>
      </c>
      <c r="P76" t="s">
        <v>52</v>
      </c>
      <c r="Q76" t="s">
        <v>26</v>
      </c>
      <c r="R76" t="s">
        <v>68</v>
      </c>
      <c r="S76">
        <f>IF(enquiry_analysis_data[[#This Row],[enquiry_status]]="Converted",1,0)</f>
        <v>1</v>
      </c>
      <c r="T76" t="s">
        <v>28</v>
      </c>
    </row>
    <row r="77" spans="1:20" x14ac:dyDescent="0.3">
      <c r="A77">
        <v>478</v>
      </c>
      <c r="B77" s="1">
        <v>45771.405914351853</v>
      </c>
      <c r="C77" s="1" t="str">
        <f>TEXT(enquiry_analysis_data[[#This Row],[enquiry_date]],"mmmm-yyyy")</f>
        <v>April-2025</v>
      </c>
      <c r="D77">
        <f>YEAR(enquiry_analysis_data[[#This Row],[enquiry_date]])</f>
        <v>2025</v>
      </c>
      <c r="E77">
        <f>MONTH(enquiry_analysis_data[[#This Row],[enquiry_date]])</f>
        <v>4</v>
      </c>
      <c r="F77" t="s">
        <v>241</v>
      </c>
      <c r="G77" t="s">
        <v>242</v>
      </c>
      <c r="H77" s="2">
        <v>9000000475</v>
      </c>
      <c r="I77" t="s">
        <v>31</v>
      </c>
      <c r="J77" t="s">
        <v>19</v>
      </c>
      <c r="K77" t="s">
        <v>20</v>
      </c>
      <c r="L77" t="s">
        <v>111</v>
      </c>
      <c r="M77" t="s">
        <v>112</v>
      </c>
      <c r="N77" t="s">
        <v>113</v>
      </c>
      <c r="O77" t="s">
        <v>42</v>
      </c>
      <c r="P77" t="s">
        <v>43</v>
      </c>
      <c r="Q77" t="s">
        <v>26</v>
      </c>
      <c r="R77" t="s">
        <v>56</v>
      </c>
      <c r="S77">
        <f>IF(enquiry_analysis_data[[#This Row],[enquiry_status]]="Converted",1,0)</f>
        <v>0</v>
      </c>
      <c r="T77" t="s">
        <v>28</v>
      </c>
    </row>
    <row r="78" spans="1:20" x14ac:dyDescent="0.3">
      <c r="A78">
        <v>205</v>
      </c>
      <c r="B78" s="1">
        <v>45771.725925925923</v>
      </c>
      <c r="C78" s="1" t="str">
        <f>TEXT(enquiry_analysis_data[[#This Row],[enquiry_date]],"mmmm-yyyy")</f>
        <v>April-2025</v>
      </c>
      <c r="D78">
        <f>YEAR(enquiry_analysis_data[[#This Row],[enquiry_date]])</f>
        <v>2025</v>
      </c>
      <c r="E78">
        <f>MONTH(enquiry_analysis_data[[#This Row],[enquiry_date]])</f>
        <v>4</v>
      </c>
      <c r="F78" t="s">
        <v>243</v>
      </c>
      <c r="G78" t="s">
        <v>244</v>
      </c>
      <c r="H78" s="2">
        <v>9000000202</v>
      </c>
      <c r="I78" t="s">
        <v>88</v>
      </c>
      <c r="J78" t="s">
        <v>49</v>
      </c>
      <c r="K78" t="s">
        <v>20</v>
      </c>
      <c r="L78" t="s">
        <v>245</v>
      </c>
      <c r="M78" t="s">
        <v>246</v>
      </c>
      <c r="N78" t="s">
        <v>156</v>
      </c>
      <c r="O78" t="s">
        <v>42</v>
      </c>
      <c r="P78" t="s">
        <v>43</v>
      </c>
      <c r="Q78" t="s">
        <v>26</v>
      </c>
      <c r="R78" t="s">
        <v>56</v>
      </c>
      <c r="S78">
        <f>IF(enquiry_analysis_data[[#This Row],[enquiry_status]]="Converted",1,0)</f>
        <v>0</v>
      </c>
      <c r="T78" t="s">
        <v>28</v>
      </c>
    </row>
    <row r="79" spans="1:20" x14ac:dyDescent="0.3">
      <c r="A79">
        <v>436</v>
      </c>
      <c r="B79" s="1">
        <v>45771.844768518517</v>
      </c>
      <c r="C79" s="1" t="str">
        <f>TEXT(enquiry_analysis_data[[#This Row],[enquiry_date]],"mmmm-yyyy")</f>
        <v>April-2025</v>
      </c>
      <c r="D79">
        <f>YEAR(enquiry_analysis_data[[#This Row],[enquiry_date]])</f>
        <v>2025</v>
      </c>
      <c r="E79">
        <f>MONTH(enquiry_analysis_data[[#This Row],[enquiry_date]])</f>
        <v>4</v>
      </c>
      <c r="F79" t="s">
        <v>247</v>
      </c>
      <c r="G79" t="s">
        <v>248</v>
      </c>
      <c r="H79" s="2">
        <v>9000000433</v>
      </c>
      <c r="I79" t="s">
        <v>31</v>
      </c>
      <c r="J79" t="s">
        <v>49</v>
      </c>
      <c r="K79" t="s">
        <v>20</v>
      </c>
      <c r="L79" t="s">
        <v>144</v>
      </c>
      <c r="M79" t="s">
        <v>145</v>
      </c>
      <c r="N79" t="s">
        <v>101</v>
      </c>
      <c r="O79" t="s">
        <v>42</v>
      </c>
      <c r="P79" t="s">
        <v>52</v>
      </c>
      <c r="Q79" t="s">
        <v>44</v>
      </c>
      <c r="R79" t="s">
        <v>56</v>
      </c>
      <c r="S79">
        <f>IF(enquiry_analysis_data[[#This Row],[enquiry_status]]="Converted",1,0)</f>
        <v>0</v>
      </c>
      <c r="T79" t="s">
        <v>28</v>
      </c>
    </row>
    <row r="80" spans="1:20" x14ac:dyDescent="0.3">
      <c r="A80">
        <v>266</v>
      </c>
      <c r="B80" s="1">
        <v>45773.581493055557</v>
      </c>
      <c r="C80" s="1" t="str">
        <f>TEXT(enquiry_analysis_data[[#This Row],[enquiry_date]],"mmmm-yyyy")</f>
        <v>April-2025</v>
      </c>
      <c r="D80">
        <f>YEAR(enquiry_analysis_data[[#This Row],[enquiry_date]])</f>
        <v>2025</v>
      </c>
      <c r="E80">
        <f>MONTH(enquiry_analysis_data[[#This Row],[enquiry_date]])</f>
        <v>4</v>
      </c>
      <c r="F80" t="s">
        <v>249</v>
      </c>
      <c r="G80" t="s">
        <v>250</v>
      </c>
      <c r="H80" s="2">
        <v>9000000263</v>
      </c>
      <c r="I80" t="s">
        <v>88</v>
      </c>
      <c r="J80" t="s">
        <v>32</v>
      </c>
      <c r="K80" t="s">
        <v>67</v>
      </c>
      <c r="L80" t="s">
        <v>136</v>
      </c>
      <c r="M80" t="s">
        <v>137</v>
      </c>
      <c r="N80" t="s">
        <v>62</v>
      </c>
      <c r="O80" t="s">
        <v>42</v>
      </c>
      <c r="P80" t="s">
        <v>43</v>
      </c>
      <c r="Q80" t="s">
        <v>83</v>
      </c>
      <c r="R80" t="s">
        <v>114</v>
      </c>
      <c r="S80">
        <f>IF(enquiry_analysis_data[[#This Row],[enquiry_status]]="Converted",1,0)</f>
        <v>0</v>
      </c>
      <c r="T80" t="s">
        <v>28</v>
      </c>
    </row>
    <row r="81" spans="1:20" x14ac:dyDescent="0.3">
      <c r="A81">
        <v>193</v>
      </c>
      <c r="B81" s="1">
        <v>45774.027094907404</v>
      </c>
      <c r="C81" s="1" t="str">
        <f>TEXT(enquiry_analysis_data[[#This Row],[enquiry_date]],"mmmm-yyyy")</f>
        <v>April-2025</v>
      </c>
      <c r="D81">
        <f>YEAR(enquiry_analysis_data[[#This Row],[enquiry_date]])</f>
        <v>2025</v>
      </c>
      <c r="E81">
        <f>MONTH(enquiry_analysis_data[[#This Row],[enquiry_date]])</f>
        <v>4</v>
      </c>
      <c r="F81" t="s">
        <v>251</v>
      </c>
      <c r="G81" t="s">
        <v>252</v>
      </c>
      <c r="H81" s="2">
        <v>9000000190</v>
      </c>
      <c r="I81" t="s">
        <v>66</v>
      </c>
      <c r="J81" t="s">
        <v>128</v>
      </c>
      <c r="K81" t="s">
        <v>94</v>
      </c>
      <c r="L81" t="s">
        <v>154</v>
      </c>
      <c r="M81" t="s">
        <v>155</v>
      </c>
      <c r="N81" t="s">
        <v>156</v>
      </c>
      <c r="O81" t="s">
        <v>42</v>
      </c>
      <c r="P81" t="s">
        <v>25</v>
      </c>
      <c r="Q81" t="s">
        <v>26</v>
      </c>
      <c r="R81" t="s">
        <v>45</v>
      </c>
      <c r="S81">
        <f>IF(enquiry_analysis_data[[#This Row],[enquiry_status]]="Converted",1,0)</f>
        <v>0</v>
      </c>
      <c r="T81" t="s">
        <v>28</v>
      </c>
    </row>
    <row r="82" spans="1:20" x14ac:dyDescent="0.3">
      <c r="A82">
        <v>41</v>
      </c>
      <c r="B82" s="1">
        <v>45774.098483796297</v>
      </c>
      <c r="C82" s="1" t="str">
        <f>TEXT(enquiry_analysis_data[[#This Row],[enquiry_date]],"mmmm-yyyy")</f>
        <v>April-2025</v>
      </c>
      <c r="D82">
        <f>YEAR(enquiry_analysis_data[[#This Row],[enquiry_date]])</f>
        <v>2025</v>
      </c>
      <c r="E82">
        <f>MONTH(enquiry_analysis_data[[#This Row],[enquiry_date]])</f>
        <v>4</v>
      </c>
      <c r="F82" t="s">
        <v>253</v>
      </c>
      <c r="G82" t="s">
        <v>254</v>
      </c>
      <c r="H82" s="2">
        <v>9000000038</v>
      </c>
      <c r="I82" t="s">
        <v>48</v>
      </c>
      <c r="J82" t="s">
        <v>32</v>
      </c>
      <c r="K82" t="s">
        <v>33</v>
      </c>
      <c r="L82" t="s">
        <v>99</v>
      </c>
      <c r="M82" t="s">
        <v>100</v>
      </c>
      <c r="N82" t="s">
        <v>101</v>
      </c>
      <c r="O82" t="s">
        <v>42</v>
      </c>
      <c r="P82" t="s">
        <v>52</v>
      </c>
      <c r="Q82" t="s">
        <v>53</v>
      </c>
      <c r="R82" t="s">
        <v>27</v>
      </c>
      <c r="S82">
        <f>IF(enquiry_analysis_data[[#This Row],[enquiry_status]]="Converted",1,0)</f>
        <v>0</v>
      </c>
      <c r="T82" t="s">
        <v>28</v>
      </c>
    </row>
    <row r="83" spans="1:20" x14ac:dyDescent="0.3">
      <c r="A83">
        <v>15</v>
      </c>
      <c r="B83" s="1">
        <v>45775.528634259259</v>
      </c>
      <c r="C83" s="1" t="str">
        <f>TEXT(enquiry_analysis_data[[#This Row],[enquiry_date]],"mmmm-yyyy")</f>
        <v>April-2025</v>
      </c>
      <c r="D83">
        <f>YEAR(enquiry_analysis_data[[#This Row],[enquiry_date]])</f>
        <v>2025</v>
      </c>
      <c r="E83">
        <f>MONTH(enquiry_analysis_data[[#This Row],[enquiry_date]])</f>
        <v>4</v>
      </c>
      <c r="F83" t="s">
        <v>255</v>
      </c>
      <c r="G83" t="s">
        <v>256</v>
      </c>
      <c r="H83" s="2">
        <v>9000000012</v>
      </c>
      <c r="I83" t="s">
        <v>66</v>
      </c>
      <c r="J83" t="s">
        <v>19</v>
      </c>
      <c r="K83" t="s">
        <v>33</v>
      </c>
      <c r="L83" t="s">
        <v>78</v>
      </c>
      <c r="M83" t="s">
        <v>79</v>
      </c>
      <c r="N83" t="s">
        <v>80</v>
      </c>
      <c r="O83" t="s">
        <v>24</v>
      </c>
      <c r="P83" t="s">
        <v>36</v>
      </c>
      <c r="Q83" t="s">
        <v>53</v>
      </c>
      <c r="R83" t="s">
        <v>68</v>
      </c>
      <c r="S83">
        <f>IF(enquiry_analysis_data[[#This Row],[enquiry_status]]="Converted",1,0)</f>
        <v>1</v>
      </c>
      <c r="T83" t="s">
        <v>28</v>
      </c>
    </row>
    <row r="84" spans="1:20" x14ac:dyDescent="0.3">
      <c r="A84">
        <v>97</v>
      </c>
      <c r="B84" s="1">
        <v>45775.627071759256</v>
      </c>
      <c r="C84" s="1" t="str">
        <f>TEXT(enquiry_analysis_data[[#This Row],[enquiry_date]],"mmmm-yyyy")</f>
        <v>April-2025</v>
      </c>
      <c r="D84">
        <f>YEAR(enquiry_analysis_data[[#This Row],[enquiry_date]])</f>
        <v>2025</v>
      </c>
      <c r="E84">
        <f>MONTH(enquiry_analysis_data[[#This Row],[enquiry_date]])</f>
        <v>4</v>
      </c>
      <c r="F84" t="s">
        <v>173</v>
      </c>
      <c r="G84" t="s">
        <v>257</v>
      </c>
      <c r="H84" s="2">
        <v>9000000094</v>
      </c>
      <c r="I84" t="s">
        <v>123</v>
      </c>
      <c r="J84" t="s">
        <v>49</v>
      </c>
      <c r="K84" t="s">
        <v>94</v>
      </c>
      <c r="L84" t="s">
        <v>136</v>
      </c>
      <c r="M84" t="s">
        <v>137</v>
      </c>
      <c r="N84" t="s">
        <v>62</v>
      </c>
      <c r="O84" t="s">
        <v>42</v>
      </c>
      <c r="P84" t="s">
        <v>25</v>
      </c>
      <c r="Q84" t="s">
        <v>141</v>
      </c>
      <c r="R84" t="s">
        <v>45</v>
      </c>
      <c r="S84">
        <f>IF(enquiry_analysis_data[[#This Row],[enquiry_status]]="Converted",1,0)</f>
        <v>0</v>
      </c>
      <c r="T84" t="s">
        <v>28</v>
      </c>
    </row>
    <row r="85" spans="1:20" x14ac:dyDescent="0.3">
      <c r="A85">
        <v>152</v>
      </c>
      <c r="B85" s="1">
        <v>45775.995127314818</v>
      </c>
      <c r="C85" s="1" t="str">
        <f>TEXT(enquiry_analysis_data[[#This Row],[enquiry_date]],"mmmm-yyyy")</f>
        <v>April-2025</v>
      </c>
      <c r="D85">
        <f>YEAR(enquiry_analysis_data[[#This Row],[enquiry_date]])</f>
        <v>2025</v>
      </c>
      <c r="E85">
        <f>MONTH(enquiry_analysis_data[[#This Row],[enquiry_date]])</f>
        <v>4</v>
      </c>
      <c r="F85" t="s">
        <v>258</v>
      </c>
      <c r="G85" t="s">
        <v>259</v>
      </c>
      <c r="H85" s="2">
        <v>9000000149</v>
      </c>
      <c r="I85" t="s">
        <v>71</v>
      </c>
      <c r="J85" t="s">
        <v>19</v>
      </c>
      <c r="K85" t="s">
        <v>33</v>
      </c>
      <c r="L85" t="s">
        <v>34</v>
      </c>
      <c r="M85" t="s">
        <v>35</v>
      </c>
      <c r="N85" t="s">
        <v>35</v>
      </c>
      <c r="O85" t="s">
        <v>42</v>
      </c>
      <c r="P85" t="s">
        <v>43</v>
      </c>
      <c r="Q85" t="s">
        <v>63</v>
      </c>
      <c r="R85" t="s">
        <v>56</v>
      </c>
      <c r="S85">
        <f>IF(enquiry_analysis_data[[#This Row],[enquiry_status]]="Converted",1,0)</f>
        <v>0</v>
      </c>
      <c r="T85" t="s">
        <v>28</v>
      </c>
    </row>
    <row r="86" spans="1:20" x14ac:dyDescent="0.3">
      <c r="A86">
        <v>81</v>
      </c>
      <c r="B86" s="1">
        <v>45776.933148148149</v>
      </c>
      <c r="C86" s="1" t="str">
        <f>TEXT(enquiry_analysis_data[[#This Row],[enquiry_date]],"mmmm-yyyy")</f>
        <v>April-2025</v>
      </c>
      <c r="D86">
        <f>YEAR(enquiry_analysis_data[[#This Row],[enquiry_date]])</f>
        <v>2025</v>
      </c>
      <c r="E86">
        <f>MONTH(enquiry_analysis_data[[#This Row],[enquiry_date]])</f>
        <v>4</v>
      </c>
      <c r="F86" t="s">
        <v>178</v>
      </c>
      <c r="G86" t="s">
        <v>260</v>
      </c>
      <c r="H86" s="2">
        <v>9000000078</v>
      </c>
      <c r="I86" t="s">
        <v>123</v>
      </c>
      <c r="J86" t="s">
        <v>49</v>
      </c>
      <c r="K86" t="s">
        <v>33</v>
      </c>
      <c r="L86" t="s">
        <v>136</v>
      </c>
      <c r="M86" t="s">
        <v>137</v>
      </c>
      <c r="N86" t="s">
        <v>62</v>
      </c>
      <c r="O86" t="s">
        <v>24</v>
      </c>
      <c r="P86" t="s">
        <v>52</v>
      </c>
      <c r="Q86" t="s">
        <v>26</v>
      </c>
      <c r="R86" t="s">
        <v>68</v>
      </c>
      <c r="S86">
        <f>IF(enquiry_analysis_data[[#This Row],[enquiry_status]]="Converted",1,0)</f>
        <v>1</v>
      </c>
      <c r="T86" t="s">
        <v>28</v>
      </c>
    </row>
    <row r="87" spans="1:20" x14ac:dyDescent="0.3">
      <c r="A87">
        <v>473</v>
      </c>
      <c r="B87" s="1">
        <v>45780.324583333335</v>
      </c>
      <c r="C87" s="1" t="str">
        <f>TEXT(enquiry_analysis_data[[#This Row],[enquiry_date]],"mmmm-yyyy")</f>
        <v>May-2025</v>
      </c>
      <c r="D87">
        <f>YEAR(enquiry_analysis_data[[#This Row],[enquiry_date]])</f>
        <v>2025</v>
      </c>
      <c r="E87">
        <f>MONTH(enquiry_analysis_data[[#This Row],[enquiry_date]])</f>
        <v>5</v>
      </c>
      <c r="F87" t="s">
        <v>261</v>
      </c>
      <c r="G87" t="s">
        <v>262</v>
      </c>
      <c r="H87" s="2">
        <v>9000000470</v>
      </c>
      <c r="I87" t="s">
        <v>31</v>
      </c>
      <c r="J87" t="s">
        <v>19</v>
      </c>
      <c r="K87" t="s">
        <v>33</v>
      </c>
      <c r="L87" t="s">
        <v>117</v>
      </c>
      <c r="M87" t="s">
        <v>118</v>
      </c>
      <c r="N87" t="s">
        <v>119</v>
      </c>
      <c r="O87" t="s">
        <v>42</v>
      </c>
      <c r="P87" t="s">
        <v>25</v>
      </c>
      <c r="Q87" t="s">
        <v>138</v>
      </c>
      <c r="R87" t="s">
        <v>194</v>
      </c>
      <c r="S87">
        <f>IF(enquiry_analysis_data[[#This Row],[enquiry_status]]="Converted",1,0)</f>
        <v>0</v>
      </c>
      <c r="T87" t="s">
        <v>28</v>
      </c>
    </row>
    <row r="88" spans="1:20" x14ac:dyDescent="0.3">
      <c r="A88">
        <v>281</v>
      </c>
      <c r="B88" s="1">
        <v>45780.711875000001</v>
      </c>
      <c r="C88" s="1" t="str">
        <f>TEXT(enquiry_analysis_data[[#This Row],[enquiry_date]],"mmmm-yyyy")</f>
        <v>May-2025</v>
      </c>
      <c r="D88">
        <f>YEAR(enquiry_analysis_data[[#This Row],[enquiry_date]])</f>
        <v>2025</v>
      </c>
      <c r="E88">
        <f>MONTH(enquiry_analysis_data[[#This Row],[enquiry_date]])</f>
        <v>5</v>
      </c>
      <c r="F88" t="s">
        <v>263</v>
      </c>
      <c r="G88" t="s">
        <v>264</v>
      </c>
      <c r="H88" s="2">
        <v>9000000278</v>
      </c>
      <c r="I88" t="s">
        <v>71</v>
      </c>
      <c r="J88" t="s">
        <v>19</v>
      </c>
      <c r="K88" t="s">
        <v>20</v>
      </c>
      <c r="L88" t="s">
        <v>78</v>
      </c>
      <c r="M88" t="s">
        <v>79</v>
      </c>
      <c r="N88" t="s">
        <v>80</v>
      </c>
      <c r="O88" t="s">
        <v>42</v>
      </c>
      <c r="P88" t="s">
        <v>25</v>
      </c>
      <c r="Q88" t="s">
        <v>53</v>
      </c>
      <c r="R88" t="s">
        <v>56</v>
      </c>
      <c r="S88">
        <f>IF(enquiry_analysis_data[[#This Row],[enquiry_status]]="Converted",1,0)</f>
        <v>0</v>
      </c>
      <c r="T88" t="s">
        <v>28</v>
      </c>
    </row>
    <row r="89" spans="1:20" x14ac:dyDescent="0.3">
      <c r="A89">
        <v>159</v>
      </c>
      <c r="B89" s="1">
        <v>45781.051458333335</v>
      </c>
      <c r="C89" s="1" t="str">
        <f>TEXT(enquiry_analysis_data[[#This Row],[enquiry_date]],"mmmm-yyyy")</f>
        <v>May-2025</v>
      </c>
      <c r="D89">
        <f>YEAR(enquiry_analysis_data[[#This Row],[enquiry_date]])</f>
        <v>2025</v>
      </c>
      <c r="E89">
        <f>MONTH(enquiry_analysis_data[[#This Row],[enquiry_date]])</f>
        <v>5</v>
      </c>
      <c r="F89" t="s">
        <v>265</v>
      </c>
      <c r="G89" t="s">
        <v>266</v>
      </c>
      <c r="H89" s="2">
        <v>9000000156</v>
      </c>
      <c r="I89" t="s">
        <v>71</v>
      </c>
      <c r="J89" t="s">
        <v>32</v>
      </c>
      <c r="K89" t="s">
        <v>94</v>
      </c>
      <c r="L89" t="s">
        <v>111</v>
      </c>
      <c r="M89" t="s">
        <v>112</v>
      </c>
      <c r="N89" t="s">
        <v>113</v>
      </c>
      <c r="O89" t="s">
        <v>42</v>
      </c>
      <c r="P89" t="s">
        <v>43</v>
      </c>
      <c r="Q89" t="s">
        <v>138</v>
      </c>
      <c r="R89" t="s">
        <v>68</v>
      </c>
      <c r="S89">
        <f>IF(enquiry_analysis_data[[#This Row],[enquiry_status]]="Converted",1,0)</f>
        <v>1</v>
      </c>
      <c r="T89" t="s">
        <v>28</v>
      </c>
    </row>
    <row r="90" spans="1:20" x14ac:dyDescent="0.3">
      <c r="A90">
        <v>139</v>
      </c>
      <c r="B90" s="1">
        <v>45781.159710648149</v>
      </c>
      <c r="C90" s="1" t="str">
        <f>TEXT(enquiry_analysis_data[[#This Row],[enquiry_date]],"mmmm-yyyy")</f>
        <v>May-2025</v>
      </c>
      <c r="D90">
        <f>YEAR(enquiry_analysis_data[[#This Row],[enquiry_date]])</f>
        <v>2025</v>
      </c>
      <c r="E90">
        <f>MONTH(enquiry_analysis_data[[#This Row],[enquiry_date]])</f>
        <v>5</v>
      </c>
      <c r="F90" t="s">
        <v>267</v>
      </c>
      <c r="G90" t="s">
        <v>268</v>
      </c>
      <c r="H90" s="2">
        <v>9000000136</v>
      </c>
      <c r="I90" t="s">
        <v>123</v>
      </c>
      <c r="J90" t="s">
        <v>104</v>
      </c>
      <c r="K90" t="s">
        <v>105</v>
      </c>
      <c r="L90" t="s">
        <v>21</v>
      </c>
      <c r="M90" t="s">
        <v>22</v>
      </c>
      <c r="N90" t="s">
        <v>23</v>
      </c>
      <c r="O90" t="s">
        <v>42</v>
      </c>
      <c r="P90" t="s">
        <v>36</v>
      </c>
      <c r="Q90" t="s">
        <v>26</v>
      </c>
      <c r="R90" t="s">
        <v>27</v>
      </c>
      <c r="S90">
        <f>IF(enquiry_analysis_data[[#This Row],[enquiry_status]]="Converted",1,0)</f>
        <v>0</v>
      </c>
      <c r="T90" t="s">
        <v>28</v>
      </c>
    </row>
    <row r="91" spans="1:20" x14ac:dyDescent="0.3">
      <c r="A91">
        <v>135</v>
      </c>
      <c r="B91" s="1">
        <v>45784.178449074076</v>
      </c>
      <c r="C91" s="1" t="str">
        <f>TEXT(enquiry_analysis_data[[#This Row],[enquiry_date]],"mmmm-yyyy")</f>
        <v>May-2025</v>
      </c>
      <c r="D91">
        <f>YEAR(enquiry_analysis_data[[#This Row],[enquiry_date]])</f>
        <v>2025</v>
      </c>
      <c r="E91">
        <f>MONTH(enquiry_analysis_data[[#This Row],[enquiry_date]])</f>
        <v>5</v>
      </c>
      <c r="F91" t="s">
        <v>269</v>
      </c>
      <c r="G91" t="s">
        <v>270</v>
      </c>
      <c r="H91" s="2">
        <v>9000000132</v>
      </c>
      <c r="I91" t="s">
        <v>77</v>
      </c>
      <c r="J91" t="s">
        <v>19</v>
      </c>
      <c r="K91" t="s">
        <v>20</v>
      </c>
      <c r="L91" t="s">
        <v>78</v>
      </c>
      <c r="M91" t="s">
        <v>79</v>
      </c>
      <c r="N91" t="s">
        <v>80</v>
      </c>
      <c r="O91" t="s">
        <v>24</v>
      </c>
      <c r="P91" t="s">
        <v>25</v>
      </c>
      <c r="Q91" t="s">
        <v>63</v>
      </c>
      <c r="R91" t="s">
        <v>114</v>
      </c>
      <c r="S91">
        <f>IF(enquiry_analysis_data[[#This Row],[enquiry_status]]="Converted",1,0)</f>
        <v>0</v>
      </c>
      <c r="T91" t="s">
        <v>28</v>
      </c>
    </row>
    <row r="92" spans="1:20" x14ac:dyDescent="0.3">
      <c r="A92">
        <v>163</v>
      </c>
      <c r="B92" s="1">
        <v>45784.588020833333</v>
      </c>
      <c r="C92" s="1" t="str">
        <f>TEXT(enquiry_analysis_data[[#This Row],[enquiry_date]],"mmmm-yyyy")</f>
        <v>May-2025</v>
      </c>
      <c r="D92">
        <f>YEAR(enquiry_analysis_data[[#This Row],[enquiry_date]])</f>
        <v>2025</v>
      </c>
      <c r="E92">
        <f>MONTH(enquiry_analysis_data[[#This Row],[enquiry_date]])</f>
        <v>5</v>
      </c>
      <c r="F92" t="s">
        <v>271</v>
      </c>
      <c r="G92" t="s">
        <v>272</v>
      </c>
      <c r="H92" s="2">
        <v>9000000160</v>
      </c>
      <c r="I92" t="s">
        <v>123</v>
      </c>
      <c r="J92" t="s">
        <v>19</v>
      </c>
      <c r="K92" t="s">
        <v>67</v>
      </c>
      <c r="L92" t="s">
        <v>136</v>
      </c>
      <c r="M92" t="s">
        <v>137</v>
      </c>
      <c r="N92" t="s">
        <v>62</v>
      </c>
      <c r="O92" t="s">
        <v>24</v>
      </c>
      <c r="P92" t="s">
        <v>52</v>
      </c>
      <c r="Q92" t="s">
        <v>141</v>
      </c>
      <c r="R92" t="s">
        <v>114</v>
      </c>
      <c r="S92">
        <f>IF(enquiry_analysis_data[[#This Row],[enquiry_status]]="Converted",1,0)</f>
        <v>0</v>
      </c>
      <c r="T92" t="s">
        <v>28</v>
      </c>
    </row>
    <row r="93" spans="1:20" x14ac:dyDescent="0.3">
      <c r="A93">
        <v>307</v>
      </c>
      <c r="B93" s="1">
        <v>45784.908912037034</v>
      </c>
      <c r="C93" s="1" t="str">
        <f>TEXT(enquiry_analysis_data[[#This Row],[enquiry_date]],"mmmm-yyyy")</f>
        <v>May-2025</v>
      </c>
      <c r="D93">
        <f>YEAR(enquiry_analysis_data[[#This Row],[enquiry_date]])</f>
        <v>2025</v>
      </c>
      <c r="E93">
        <f>MONTH(enquiry_analysis_data[[#This Row],[enquiry_date]])</f>
        <v>5</v>
      </c>
      <c r="F93" t="s">
        <v>273</v>
      </c>
      <c r="G93" t="s">
        <v>274</v>
      </c>
      <c r="H93" s="2">
        <v>9000000304</v>
      </c>
      <c r="I93" t="s">
        <v>59</v>
      </c>
      <c r="J93" t="s">
        <v>49</v>
      </c>
      <c r="K93" t="s">
        <v>105</v>
      </c>
      <c r="L93" t="s">
        <v>21</v>
      </c>
      <c r="M93" t="s">
        <v>22</v>
      </c>
      <c r="N93" t="s">
        <v>23</v>
      </c>
      <c r="O93" t="s">
        <v>24</v>
      </c>
      <c r="P93" t="s">
        <v>36</v>
      </c>
      <c r="Q93" t="s">
        <v>138</v>
      </c>
      <c r="R93" t="s">
        <v>68</v>
      </c>
      <c r="S93">
        <f>IF(enquiry_analysis_data[[#This Row],[enquiry_status]]="Converted",1,0)</f>
        <v>1</v>
      </c>
      <c r="T93" t="s">
        <v>28</v>
      </c>
    </row>
    <row r="94" spans="1:20" x14ac:dyDescent="0.3">
      <c r="A94">
        <v>338</v>
      </c>
      <c r="B94" s="1">
        <v>45786.847986111112</v>
      </c>
      <c r="C94" s="1" t="str">
        <f>TEXT(enquiry_analysis_data[[#This Row],[enquiry_date]],"mmmm-yyyy")</f>
        <v>May-2025</v>
      </c>
      <c r="D94">
        <f>YEAR(enquiry_analysis_data[[#This Row],[enquiry_date]])</f>
        <v>2025</v>
      </c>
      <c r="E94">
        <f>MONTH(enquiry_analysis_data[[#This Row],[enquiry_date]])</f>
        <v>5</v>
      </c>
      <c r="F94" t="s">
        <v>275</v>
      </c>
      <c r="G94" t="s">
        <v>276</v>
      </c>
      <c r="H94" s="2">
        <v>9000000335</v>
      </c>
      <c r="I94" t="s">
        <v>88</v>
      </c>
      <c r="J94" t="s">
        <v>32</v>
      </c>
      <c r="K94" t="s">
        <v>33</v>
      </c>
      <c r="L94" t="s">
        <v>245</v>
      </c>
      <c r="M94" t="s">
        <v>246</v>
      </c>
      <c r="N94" t="s">
        <v>156</v>
      </c>
      <c r="O94" t="s">
        <v>42</v>
      </c>
      <c r="P94" t="s">
        <v>36</v>
      </c>
      <c r="Q94" t="s">
        <v>26</v>
      </c>
      <c r="R94" t="s">
        <v>114</v>
      </c>
      <c r="S94">
        <f>IF(enquiry_analysis_data[[#This Row],[enquiry_status]]="Converted",1,0)</f>
        <v>0</v>
      </c>
      <c r="T94" t="s">
        <v>28</v>
      </c>
    </row>
    <row r="95" spans="1:20" x14ac:dyDescent="0.3">
      <c r="A95">
        <v>485</v>
      </c>
      <c r="B95" s="1">
        <v>45787.688958333332</v>
      </c>
      <c r="C95" s="1" t="str">
        <f>TEXT(enquiry_analysis_data[[#This Row],[enquiry_date]],"mmmm-yyyy")</f>
        <v>May-2025</v>
      </c>
      <c r="D95">
        <f>YEAR(enquiry_analysis_data[[#This Row],[enquiry_date]])</f>
        <v>2025</v>
      </c>
      <c r="E95">
        <f>MONTH(enquiry_analysis_data[[#This Row],[enquiry_date]])</f>
        <v>5</v>
      </c>
      <c r="F95" t="s">
        <v>277</v>
      </c>
      <c r="G95" t="s">
        <v>278</v>
      </c>
      <c r="H95" s="2">
        <v>9000000482</v>
      </c>
      <c r="I95" t="s">
        <v>71</v>
      </c>
      <c r="J95" t="s">
        <v>19</v>
      </c>
      <c r="K95" t="s">
        <v>67</v>
      </c>
      <c r="L95" t="s">
        <v>245</v>
      </c>
      <c r="M95" t="s">
        <v>246</v>
      </c>
      <c r="N95" t="s">
        <v>156</v>
      </c>
      <c r="O95" t="s">
        <v>24</v>
      </c>
      <c r="P95" t="s">
        <v>36</v>
      </c>
      <c r="Q95" t="s">
        <v>83</v>
      </c>
      <c r="R95" t="s">
        <v>114</v>
      </c>
      <c r="S95">
        <f>IF(enquiry_analysis_data[[#This Row],[enquiry_status]]="Converted",1,0)</f>
        <v>0</v>
      </c>
      <c r="T95" t="s">
        <v>28</v>
      </c>
    </row>
    <row r="96" spans="1:20" x14ac:dyDescent="0.3">
      <c r="A96">
        <v>226</v>
      </c>
      <c r="B96" s="1">
        <v>45788.284618055557</v>
      </c>
      <c r="C96" s="1" t="str">
        <f>TEXT(enquiry_analysis_data[[#This Row],[enquiry_date]],"mmmm-yyyy")</f>
        <v>May-2025</v>
      </c>
      <c r="D96">
        <f>YEAR(enquiry_analysis_data[[#This Row],[enquiry_date]])</f>
        <v>2025</v>
      </c>
      <c r="E96">
        <f>MONTH(enquiry_analysis_data[[#This Row],[enquiry_date]])</f>
        <v>5</v>
      </c>
      <c r="F96" t="s">
        <v>279</v>
      </c>
      <c r="G96" t="s">
        <v>280</v>
      </c>
      <c r="H96" s="2">
        <v>9000000223</v>
      </c>
      <c r="I96" t="s">
        <v>88</v>
      </c>
      <c r="J96" t="s">
        <v>19</v>
      </c>
      <c r="K96" t="s">
        <v>67</v>
      </c>
      <c r="L96" t="s">
        <v>245</v>
      </c>
      <c r="M96" t="s">
        <v>246</v>
      </c>
      <c r="N96" t="s">
        <v>156</v>
      </c>
      <c r="O96" t="s">
        <v>24</v>
      </c>
      <c r="P96" t="s">
        <v>25</v>
      </c>
      <c r="Q96" t="s">
        <v>53</v>
      </c>
      <c r="R96" t="s">
        <v>27</v>
      </c>
      <c r="S96">
        <f>IF(enquiry_analysis_data[[#This Row],[enquiry_status]]="Converted",1,0)</f>
        <v>0</v>
      </c>
      <c r="T96" t="s">
        <v>28</v>
      </c>
    </row>
    <row r="97" spans="1:20" x14ac:dyDescent="0.3">
      <c r="A97">
        <v>364</v>
      </c>
      <c r="B97" s="1">
        <v>45788.394386574073</v>
      </c>
      <c r="C97" s="1" t="str">
        <f>TEXT(enquiry_analysis_data[[#This Row],[enquiry_date]],"mmmm-yyyy")</f>
        <v>May-2025</v>
      </c>
      <c r="D97">
        <f>YEAR(enquiry_analysis_data[[#This Row],[enquiry_date]])</f>
        <v>2025</v>
      </c>
      <c r="E97">
        <f>MONTH(enquiry_analysis_data[[#This Row],[enquiry_date]])</f>
        <v>5</v>
      </c>
      <c r="F97" t="s">
        <v>281</v>
      </c>
      <c r="G97" t="s">
        <v>282</v>
      </c>
      <c r="H97" s="2">
        <v>9000000361</v>
      </c>
      <c r="I97" t="s">
        <v>18</v>
      </c>
      <c r="J97" t="s">
        <v>19</v>
      </c>
      <c r="K97" t="s">
        <v>33</v>
      </c>
      <c r="L97" t="s">
        <v>50</v>
      </c>
      <c r="M97" t="s">
        <v>51</v>
      </c>
      <c r="N97" t="s">
        <v>23</v>
      </c>
      <c r="O97" t="s">
        <v>24</v>
      </c>
      <c r="P97" t="s">
        <v>36</v>
      </c>
      <c r="Q97" t="s">
        <v>141</v>
      </c>
      <c r="R97" t="s">
        <v>45</v>
      </c>
      <c r="S97">
        <f>IF(enquiry_analysis_data[[#This Row],[enquiry_status]]="Converted",1,0)</f>
        <v>0</v>
      </c>
      <c r="T97" t="s">
        <v>28</v>
      </c>
    </row>
    <row r="98" spans="1:20" x14ac:dyDescent="0.3">
      <c r="A98">
        <v>23</v>
      </c>
      <c r="B98" s="1">
        <v>45788.700671296298</v>
      </c>
      <c r="C98" s="1" t="str">
        <f>TEXT(enquiry_analysis_data[[#This Row],[enquiry_date]],"mmmm-yyyy")</f>
        <v>May-2025</v>
      </c>
      <c r="D98">
        <f>YEAR(enquiry_analysis_data[[#This Row],[enquiry_date]])</f>
        <v>2025</v>
      </c>
      <c r="E98">
        <f>MONTH(enquiry_analysis_data[[#This Row],[enquiry_date]])</f>
        <v>5</v>
      </c>
      <c r="F98" t="s">
        <v>283</v>
      </c>
      <c r="G98" t="s">
        <v>284</v>
      </c>
      <c r="H98" s="2">
        <v>9000000020</v>
      </c>
      <c r="I98" t="s">
        <v>59</v>
      </c>
      <c r="J98" t="s">
        <v>128</v>
      </c>
      <c r="K98" t="s">
        <v>20</v>
      </c>
      <c r="L98" t="s">
        <v>136</v>
      </c>
      <c r="M98" t="s">
        <v>137</v>
      </c>
      <c r="N98" t="s">
        <v>62</v>
      </c>
      <c r="O98" t="s">
        <v>24</v>
      </c>
      <c r="P98" t="s">
        <v>36</v>
      </c>
      <c r="Q98" t="s">
        <v>37</v>
      </c>
      <c r="R98" t="s">
        <v>56</v>
      </c>
      <c r="S98">
        <f>IF(enquiry_analysis_data[[#This Row],[enquiry_status]]="Converted",1,0)</f>
        <v>0</v>
      </c>
      <c r="T98" t="s">
        <v>28</v>
      </c>
    </row>
    <row r="99" spans="1:20" x14ac:dyDescent="0.3">
      <c r="A99">
        <v>270</v>
      </c>
      <c r="B99" s="1">
        <v>45788.856064814812</v>
      </c>
      <c r="C99" s="1" t="str">
        <f>TEXT(enquiry_analysis_data[[#This Row],[enquiry_date]],"mmmm-yyyy")</f>
        <v>May-2025</v>
      </c>
      <c r="D99">
        <f>YEAR(enquiry_analysis_data[[#This Row],[enquiry_date]])</f>
        <v>2025</v>
      </c>
      <c r="E99">
        <f>MONTH(enquiry_analysis_data[[#This Row],[enquiry_date]])</f>
        <v>5</v>
      </c>
      <c r="F99" t="s">
        <v>285</v>
      </c>
      <c r="G99" t="s">
        <v>286</v>
      </c>
      <c r="H99" s="2">
        <v>9000000267</v>
      </c>
      <c r="I99" t="s">
        <v>59</v>
      </c>
      <c r="J99" t="s">
        <v>19</v>
      </c>
      <c r="K99" t="s">
        <v>94</v>
      </c>
      <c r="L99" t="s">
        <v>21</v>
      </c>
      <c r="M99" t="s">
        <v>22</v>
      </c>
      <c r="N99" t="s">
        <v>23</v>
      </c>
      <c r="O99" t="s">
        <v>42</v>
      </c>
      <c r="P99" t="s">
        <v>43</v>
      </c>
      <c r="Q99" t="s">
        <v>53</v>
      </c>
      <c r="R99" t="s">
        <v>68</v>
      </c>
      <c r="S99">
        <f>IF(enquiry_analysis_data[[#This Row],[enquiry_status]]="Converted",1,0)</f>
        <v>1</v>
      </c>
      <c r="T99" t="s">
        <v>28</v>
      </c>
    </row>
    <row r="100" spans="1:20" x14ac:dyDescent="0.3">
      <c r="A100">
        <v>459</v>
      </c>
      <c r="B100" s="1">
        <v>45792.672326388885</v>
      </c>
      <c r="C100" s="1" t="str">
        <f>TEXT(enquiry_analysis_data[[#This Row],[enquiry_date]],"mmmm-yyyy")</f>
        <v>May-2025</v>
      </c>
      <c r="D100">
        <f>YEAR(enquiry_analysis_data[[#This Row],[enquiry_date]])</f>
        <v>2025</v>
      </c>
      <c r="E100">
        <f>MONTH(enquiry_analysis_data[[#This Row],[enquiry_date]])</f>
        <v>5</v>
      </c>
      <c r="F100" t="s">
        <v>287</v>
      </c>
      <c r="G100" t="s">
        <v>288</v>
      </c>
      <c r="H100" s="2">
        <v>9000000456</v>
      </c>
      <c r="I100" t="s">
        <v>123</v>
      </c>
      <c r="J100" t="s">
        <v>19</v>
      </c>
      <c r="K100" t="s">
        <v>20</v>
      </c>
      <c r="L100" t="s">
        <v>245</v>
      </c>
      <c r="M100" t="s">
        <v>246</v>
      </c>
      <c r="N100" t="s">
        <v>156</v>
      </c>
      <c r="O100" t="s">
        <v>24</v>
      </c>
      <c r="P100" t="s">
        <v>25</v>
      </c>
      <c r="Q100" t="s">
        <v>53</v>
      </c>
      <c r="R100" t="s">
        <v>45</v>
      </c>
      <c r="S100">
        <f>IF(enquiry_analysis_data[[#This Row],[enquiry_status]]="Converted",1,0)</f>
        <v>0</v>
      </c>
      <c r="T100" t="s">
        <v>28</v>
      </c>
    </row>
    <row r="101" spans="1:20" x14ac:dyDescent="0.3">
      <c r="A101">
        <v>224</v>
      </c>
      <c r="B101" s="1">
        <v>45792.930439814816</v>
      </c>
      <c r="C101" s="1" t="str">
        <f>TEXT(enquiry_analysis_data[[#This Row],[enquiry_date]],"mmmm-yyyy")</f>
        <v>May-2025</v>
      </c>
      <c r="D101">
        <f>YEAR(enquiry_analysis_data[[#This Row],[enquiry_date]])</f>
        <v>2025</v>
      </c>
      <c r="E101">
        <f>MONTH(enquiry_analysis_data[[#This Row],[enquiry_date]])</f>
        <v>5</v>
      </c>
      <c r="F101" t="s">
        <v>289</v>
      </c>
      <c r="G101" t="s">
        <v>290</v>
      </c>
      <c r="H101" s="2">
        <v>9000000221</v>
      </c>
      <c r="I101" t="s">
        <v>18</v>
      </c>
      <c r="J101" t="s">
        <v>128</v>
      </c>
      <c r="K101" t="s">
        <v>94</v>
      </c>
      <c r="L101" t="s">
        <v>111</v>
      </c>
      <c r="M101" t="s">
        <v>112</v>
      </c>
      <c r="N101" t="s">
        <v>113</v>
      </c>
      <c r="O101" t="s">
        <v>42</v>
      </c>
      <c r="P101" t="s">
        <v>36</v>
      </c>
      <c r="Q101" t="s">
        <v>53</v>
      </c>
      <c r="R101" t="s">
        <v>56</v>
      </c>
      <c r="S101">
        <f>IF(enquiry_analysis_data[[#This Row],[enquiry_status]]="Converted",1,0)</f>
        <v>0</v>
      </c>
      <c r="T101" t="s">
        <v>28</v>
      </c>
    </row>
    <row r="102" spans="1:20" x14ac:dyDescent="0.3">
      <c r="A102">
        <v>282</v>
      </c>
      <c r="B102" s="1">
        <v>45794.574629629627</v>
      </c>
      <c r="C102" s="1" t="str">
        <f>TEXT(enquiry_analysis_data[[#This Row],[enquiry_date]],"mmmm-yyyy")</f>
        <v>May-2025</v>
      </c>
      <c r="D102">
        <f>YEAR(enquiry_analysis_data[[#This Row],[enquiry_date]])</f>
        <v>2025</v>
      </c>
      <c r="E102">
        <f>MONTH(enquiry_analysis_data[[#This Row],[enquiry_date]])</f>
        <v>5</v>
      </c>
      <c r="F102" t="s">
        <v>291</v>
      </c>
      <c r="G102" t="s">
        <v>292</v>
      </c>
      <c r="H102" s="2">
        <v>9000000279</v>
      </c>
      <c r="I102" t="s">
        <v>71</v>
      </c>
      <c r="J102" t="s">
        <v>19</v>
      </c>
      <c r="K102" t="s">
        <v>33</v>
      </c>
      <c r="L102" t="s">
        <v>106</v>
      </c>
      <c r="M102" t="s">
        <v>107</v>
      </c>
      <c r="N102" t="s">
        <v>108</v>
      </c>
      <c r="O102" t="s">
        <v>42</v>
      </c>
      <c r="P102" t="s">
        <v>36</v>
      </c>
      <c r="Q102" t="s">
        <v>53</v>
      </c>
      <c r="R102" t="s">
        <v>68</v>
      </c>
      <c r="S102">
        <f>IF(enquiry_analysis_data[[#This Row],[enquiry_status]]="Converted",1,0)</f>
        <v>1</v>
      </c>
      <c r="T102" t="s">
        <v>28</v>
      </c>
    </row>
    <row r="103" spans="1:20" x14ac:dyDescent="0.3">
      <c r="A103">
        <v>251</v>
      </c>
      <c r="B103" s="1">
        <v>45794.803206018521</v>
      </c>
      <c r="C103" s="1" t="str">
        <f>TEXT(enquiry_analysis_data[[#This Row],[enquiry_date]],"mmmm-yyyy")</f>
        <v>May-2025</v>
      </c>
      <c r="D103">
        <f>YEAR(enquiry_analysis_data[[#This Row],[enquiry_date]])</f>
        <v>2025</v>
      </c>
      <c r="E103">
        <f>MONTH(enquiry_analysis_data[[#This Row],[enquiry_date]])</f>
        <v>5</v>
      </c>
      <c r="F103" t="s">
        <v>129</v>
      </c>
      <c r="G103" t="s">
        <v>293</v>
      </c>
      <c r="H103" s="2">
        <v>9000000248</v>
      </c>
      <c r="I103" t="s">
        <v>88</v>
      </c>
      <c r="J103" t="s">
        <v>128</v>
      </c>
      <c r="K103" t="s">
        <v>67</v>
      </c>
      <c r="L103" t="s">
        <v>117</v>
      </c>
      <c r="M103" t="s">
        <v>118</v>
      </c>
      <c r="N103" t="s">
        <v>119</v>
      </c>
      <c r="O103" t="s">
        <v>42</v>
      </c>
      <c r="P103" t="s">
        <v>52</v>
      </c>
      <c r="Q103" t="s">
        <v>53</v>
      </c>
      <c r="R103" t="s">
        <v>194</v>
      </c>
      <c r="S103">
        <f>IF(enquiry_analysis_data[[#This Row],[enquiry_status]]="Converted",1,0)</f>
        <v>0</v>
      </c>
      <c r="T103" t="s">
        <v>28</v>
      </c>
    </row>
    <row r="104" spans="1:20" x14ac:dyDescent="0.3">
      <c r="A104">
        <v>391</v>
      </c>
      <c r="B104" s="1">
        <v>45796.182881944442</v>
      </c>
      <c r="C104" s="1" t="str">
        <f>TEXT(enquiry_analysis_data[[#This Row],[enquiry_date]],"mmmm-yyyy")</f>
        <v>May-2025</v>
      </c>
      <c r="D104">
        <f>YEAR(enquiry_analysis_data[[#This Row],[enquiry_date]])</f>
        <v>2025</v>
      </c>
      <c r="E104">
        <f>MONTH(enquiry_analysis_data[[#This Row],[enquiry_date]])</f>
        <v>5</v>
      </c>
      <c r="F104" t="s">
        <v>294</v>
      </c>
      <c r="G104" t="s">
        <v>295</v>
      </c>
      <c r="H104" s="2">
        <v>9000000388</v>
      </c>
      <c r="I104" t="s">
        <v>123</v>
      </c>
      <c r="J104" t="s">
        <v>19</v>
      </c>
      <c r="K104" t="s">
        <v>20</v>
      </c>
      <c r="L104" t="s">
        <v>50</v>
      </c>
      <c r="M104" t="s">
        <v>51</v>
      </c>
      <c r="N104" t="s">
        <v>23</v>
      </c>
      <c r="O104" t="s">
        <v>24</v>
      </c>
      <c r="P104" t="s">
        <v>52</v>
      </c>
      <c r="Q104" t="s">
        <v>53</v>
      </c>
      <c r="R104" t="s">
        <v>56</v>
      </c>
      <c r="S104">
        <f>IF(enquiry_analysis_data[[#This Row],[enquiry_status]]="Converted",1,0)</f>
        <v>0</v>
      </c>
      <c r="T104" t="s">
        <v>28</v>
      </c>
    </row>
    <row r="105" spans="1:20" x14ac:dyDescent="0.3">
      <c r="A105">
        <v>416</v>
      </c>
      <c r="B105" s="1">
        <v>45798.099085648151</v>
      </c>
      <c r="C105" s="1" t="str">
        <f>TEXT(enquiry_analysis_data[[#This Row],[enquiry_date]],"mmmm-yyyy")</f>
        <v>May-2025</v>
      </c>
      <c r="D105">
        <f>YEAR(enquiry_analysis_data[[#This Row],[enquiry_date]])</f>
        <v>2025</v>
      </c>
      <c r="E105">
        <f>MONTH(enquiry_analysis_data[[#This Row],[enquiry_date]])</f>
        <v>5</v>
      </c>
      <c r="F105" t="s">
        <v>296</v>
      </c>
      <c r="G105" t="s">
        <v>297</v>
      </c>
      <c r="H105" s="2">
        <v>9000000413</v>
      </c>
      <c r="I105" t="s">
        <v>59</v>
      </c>
      <c r="J105" t="s">
        <v>128</v>
      </c>
      <c r="K105" t="s">
        <v>33</v>
      </c>
      <c r="L105" t="s">
        <v>245</v>
      </c>
      <c r="M105" t="s">
        <v>246</v>
      </c>
      <c r="N105" t="s">
        <v>156</v>
      </c>
      <c r="O105" t="s">
        <v>24</v>
      </c>
      <c r="P105" t="s">
        <v>52</v>
      </c>
      <c r="Q105" t="s">
        <v>141</v>
      </c>
      <c r="R105" t="s">
        <v>56</v>
      </c>
      <c r="S105">
        <f>IF(enquiry_analysis_data[[#This Row],[enquiry_status]]="Converted",1,0)</f>
        <v>0</v>
      </c>
      <c r="T105" t="s">
        <v>28</v>
      </c>
    </row>
    <row r="106" spans="1:20" x14ac:dyDescent="0.3">
      <c r="A106">
        <v>29</v>
      </c>
      <c r="B106" s="1">
        <v>45799.614189814813</v>
      </c>
      <c r="C106" s="1" t="str">
        <f>TEXT(enquiry_analysis_data[[#This Row],[enquiry_date]],"mmmm-yyyy")</f>
        <v>May-2025</v>
      </c>
      <c r="D106">
        <f>YEAR(enquiry_analysis_data[[#This Row],[enquiry_date]])</f>
        <v>2025</v>
      </c>
      <c r="E106">
        <f>MONTH(enquiry_analysis_data[[#This Row],[enquiry_date]])</f>
        <v>5</v>
      </c>
      <c r="F106" t="s">
        <v>298</v>
      </c>
      <c r="G106" t="s">
        <v>299</v>
      </c>
      <c r="H106" s="2">
        <v>9000000026</v>
      </c>
      <c r="I106" t="s">
        <v>123</v>
      </c>
      <c r="J106" t="s">
        <v>128</v>
      </c>
      <c r="K106" t="s">
        <v>33</v>
      </c>
      <c r="L106" t="s">
        <v>136</v>
      </c>
      <c r="M106" t="s">
        <v>137</v>
      </c>
      <c r="N106" t="s">
        <v>62</v>
      </c>
      <c r="O106" t="s">
        <v>42</v>
      </c>
      <c r="P106" t="s">
        <v>25</v>
      </c>
      <c r="Q106" t="s">
        <v>26</v>
      </c>
      <c r="R106" t="s">
        <v>68</v>
      </c>
      <c r="S106">
        <f>IF(enquiry_analysis_data[[#This Row],[enquiry_status]]="Converted",1,0)</f>
        <v>1</v>
      </c>
      <c r="T106" t="s">
        <v>28</v>
      </c>
    </row>
    <row r="107" spans="1:20" x14ac:dyDescent="0.3">
      <c r="A107">
        <v>389</v>
      </c>
      <c r="B107" s="1">
        <v>45799.648587962962</v>
      </c>
      <c r="C107" s="1" t="str">
        <f>TEXT(enquiry_analysis_data[[#This Row],[enquiry_date]],"mmmm-yyyy")</f>
        <v>May-2025</v>
      </c>
      <c r="D107">
        <f>YEAR(enquiry_analysis_data[[#This Row],[enquiry_date]])</f>
        <v>2025</v>
      </c>
      <c r="E107">
        <f>MONTH(enquiry_analysis_data[[#This Row],[enquiry_date]])</f>
        <v>5</v>
      </c>
      <c r="F107" t="s">
        <v>300</v>
      </c>
      <c r="G107" t="s">
        <v>301</v>
      </c>
      <c r="H107" s="2">
        <v>9000000386</v>
      </c>
      <c r="I107" t="s">
        <v>59</v>
      </c>
      <c r="J107" t="s">
        <v>19</v>
      </c>
      <c r="K107" t="s">
        <v>33</v>
      </c>
      <c r="L107" t="s">
        <v>144</v>
      </c>
      <c r="M107" t="s">
        <v>145</v>
      </c>
      <c r="N107" t="s">
        <v>101</v>
      </c>
      <c r="O107" t="s">
        <v>42</v>
      </c>
      <c r="P107" t="s">
        <v>36</v>
      </c>
      <c r="Q107" t="s">
        <v>141</v>
      </c>
      <c r="R107" t="s">
        <v>68</v>
      </c>
      <c r="S107">
        <f>IF(enquiry_analysis_data[[#This Row],[enquiry_status]]="Converted",1,0)</f>
        <v>1</v>
      </c>
      <c r="T107" t="s">
        <v>28</v>
      </c>
    </row>
    <row r="108" spans="1:20" x14ac:dyDescent="0.3">
      <c r="A108">
        <v>433</v>
      </c>
      <c r="B108" s="1">
        <v>45800.054837962962</v>
      </c>
      <c r="C108" s="1" t="str">
        <f>TEXT(enquiry_analysis_data[[#This Row],[enquiry_date]],"mmmm-yyyy")</f>
        <v>May-2025</v>
      </c>
      <c r="D108">
        <f>YEAR(enquiry_analysis_data[[#This Row],[enquiry_date]])</f>
        <v>2025</v>
      </c>
      <c r="E108">
        <f>MONTH(enquiry_analysis_data[[#This Row],[enquiry_date]])</f>
        <v>5</v>
      </c>
      <c r="F108" t="s">
        <v>227</v>
      </c>
      <c r="G108" t="s">
        <v>302</v>
      </c>
      <c r="H108" s="2">
        <v>9000000430</v>
      </c>
      <c r="I108" t="s">
        <v>93</v>
      </c>
      <c r="J108" t="s">
        <v>49</v>
      </c>
      <c r="K108" t="s">
        <v>20</v>
      </c>
      <c r="L108" t="s">
        <v>50</v>
      </c>
      <c r="M108" t="s">
        <v>51</v>
      </c>
      <c r="N108" t="s">
        <v>23</v>
      </c>
      <c r="O108" t="s">
        <v>42</v>
      </c>
      <c r="P108" t="s">
        <v>43</v>
      </c>
      <c r="Q108" t="s">
        <v>26</v>
      </c>
      <c r="R108" t="s">
        <v>68</v>
      </c>
      <c r="S108">
        <f>IF(enquiry_analysis_data[[#This Row],[enquiry_status]]="Converted",1,0)</f>
        <v>1</v>
      </c>
      <c r="T108" t="s">
        <v>28</v>
      </c>
    </row>
    <row r="109" spans="1:20" x14ac:dyDescent="0.3">
      <c r="A109">
        <v>479</v>
      </c>
      <c r="B109" s="1">
        <v>45801.871840277781</v>
      </c>
      <c r="C109" s="1" t="str">
        <f>TEXT(enquiry_analysis_data[[#This Row],[enquiry_date]],"mmmm-yyyy")</f>
        <v>May-2025</v>
      </c>
      <c r="D109">
        <f>YEAR(enquiry_analysis_data[[#This Row],[enquiry_date]])</f>
        <v>2025</v>
      </c>
      <c r="E109">
        <f>MONTH(enquiry_analysis_data[[#This Row],[enquiry_date]])</f>
        <v>5</v>
      </c>
      <c r="F109" t="s">
        <v>300</v>
      </c>
      <c r="G109" t="s">
        <v>303</v>
      </c>
      <c r="H109" s="2">
        <v>9000000476</v>
      </c>
      <c r="I109" t="s">
        <v>31</v>
      </c>
      <c r="J109" t="s">
        <v>19</v>
      </c>
      <c r="K109" t="s">
        <v>20</v>
      </c>
      <c r="L109" t="s">
        <v>78</v>
      </c>
      <c r="M109" t="s">
        <v>79</v>
      </c>
      <c r="N109" t="s">
        <v>80</v>
      </c>
      <c r="O109" t="s">
        <v>42</v>
      </c>
      <c r="P109" t="s">
        <v>36</v>
      </c>
      <c r="Q109" t="s">
        <v>138</v>
      </c>
      <c r="R109" t="s">
        <v>114</v>
      </c>
      <c r="S109">
        <f>IF(enquiry_analysis_data[[#This Row],[enquiry_status]]="Converted",1,0)</f>
        <v>0</v>
      </c>
      <c r="T109" t="s">
        <v>28</v>
      </c>
    </row>
    <row r="110" spans="1:20" x14ac:dyDescent="0.3">
      <c r="A110">
        <v>385</v>
      </c>
      <c r="B110" s="1">
        <v>45803.54892361111</v>
      </c>
      <c r="C110" s="1" t="str">
        <f>TEXT(enquiry_analysis_data[[#This Row],[enquiry_date]],"mmmm-yyyy")</f>
        <v>May-2025</v>
      </c>
      <c r="D110">
        <f>YEAR(enquiry_analysis_data[[#This Row],[enquiry_date]])</f>
        <v>2025</v>
      </c>
      <c r="E110">
        <f>MONTH(enquiry_analysis_data[[#This Row],[enquiry_date]])</f>
        <v>5</v>
      </c>
      <c r="F110" t="s">
        <v>304</v>
      </c>
      <c r="G110" t="s">
        <v>305</v>
      </c>
      <c r="H110" s="2">
        <v>9000000382</v>
      </c>
      <c r="I110" t="s">
        <v>93</v>
      </c>
      <c r="J110" t="s">
        <v>49</v>
      </c>
      <c r="K110" t="s">
        <v>20</v>
      </c>
      <c r="L110" t="s">
        <v>78</v>
      </c>
      <c r="M110" t="s">
        <v>79</v>
      </c>
      <c r="N110" t="s">
        <v>80</v>
      </c>
      <c r="O110" t="s">
        <v>24</v>
      </c>
      <c r="P110" t="s">
        <v>36</v>
      </c>
      <c r="Q110" t="s">
        <v>26</v>
      </c>
      <c r="R110" t="s">
        <v>194</v>
      </c>
      <c r="S110">
        <f>IF(enquiry_analysis_data[[#This Row],[enquiry_status]]="Converted",1,0)</f>
        <v>0</v>
      </c>
      <c r="T110" t="s">
        <v>28</v>
      </c>
    </row>
    <row r="111" spans="1:20" x14ac:dyDescent="0.3">
      <c r="A111">
        <v>176</v>
      </c>
      <c r="B111" s="1">
        <v>45804.772083333337</v>
      </c>
      <c r="C111" s="1" t="str">
        <f>TEXT(enquiry_analysis_data[[#This Row],[enquiry_date]],"mmmm-yyyy")</f>
        <v>May-2025</v>
      </c>
      <c r="D111">
        <f>YEAR(enquiry_analysis_data[[#This Row],[enquiry_date]])</f>
        <v>2025</v>
      </c>
      <c r="E111">
        <f>MONTH(enquiry_analysis_data[[#This Row],[enquiry_date]])</f>
        <v>5</v>
      </c>
      <c r="F111" t="s">
        <v>306</v>
      </c>
      <c r="G111" t="s">
        <v>307</v>
      </c>
      <c r="H111" s="2">
        <v>9000000173</v>
      </c>
      <c r="I111" t="s">
        <v>88</v>
      </c>
      <c r="J111" t="s">
        <v>49</v>
      </c>
      <c r="K111" t="s">
        <v>20</v>
      </c>
      <c r="L111" t="s">
        <v>60</v>
      </c>
      <c r="M111" t="s">
        <v>61</v>
      </c>
      <c r="N111" t="s">
        <v>62</v>
      </c>
      <c r="O111" t="s">
        <v>42</v>
      </c>
      <c r="P111" t="s">
        <v>52</v>
      </c>
      <c r="Q111" t="s">
        <v>53</v>
      </c>
      <c r="R111" t="s">
        <v>68</v>
      </c>
      <c r="S111">
        <f>IF(enquiry_analysis_data[[#This Row],[enquiry_status]]="Converted",1,0)</f>
        <v>1</v>
      </c>
      <c r="T111" t="s">
        <v>28</v>
      </c>
    </row>
    <row r="112" spans="1:20" x14ac:dyDescent="0.3">
      <c r="A112">
        <v>142</v>
      </c>
      <c r="B112" s="1">
        <v>45805.823495370372</v>
      </c>
      <c r="C112" s="1" t="str">
        <f>TEXT(enquiry_analysis_data[[#This Row],[enquiry_date]],"mmmm-yyyy")</f>
        <v>May-2025</v>
      </c>
      <c r="D112">
        <f>YEAR(enquiry_analysis_data[[#This Row],[enquiry_date]])</f>
        <v>2025</v>
      </c>
      <c r="E112">
        <f>MONTH(enquiry_analysis_data[[#This Row],[enquiry_date]])</f>
        <v>5</v>
      </c>
      <c r="F112" t="s">
        <v>255</v>
      </c>
      <c r="G112" t="s">
        <v>308</v>
      </c>
      <c r="H112" s="2">
        <v>9000000139</v>
      </c>
      <c r="I112" t="s">
        <v>93</v>
      </c>
      <c r="J112" t="s">
        <v>19</v>
      </c>
      <c r="K112" t="s">
        <v>33</v>
      </c>
      <c r="L112" t="s">
        <v>136</v>
      </c>
      <c r="M112" t="s">
        <v>137</v>
      </c>
      <c r="N112" t="s">
        <v>62</v>
      </c>
      <c r="O112" t="s">
        <v>42</v>
      </c>
      <c r="P112" t="s">
        <v>43</v>
      </c>
      <c r="Q112" t="s">
        <v>63</v>
      </c>
      <c r="R112" t="s">
        <v>68</v>
      </c>
      <c r="S112">
        <f>IF(enquiry_analysis_data[[#This Row],[enquiry_status]]="Converted",1,0)</f>
        <v>1</v>
      </c>
      <c r="T112" t="s">
        <v>28</v>
      </c>
    </row>
    <row r="113" spans="1:20" x14ac:dyDescent="0.3">
      <c r="A113">
        <v>409</v>
      </c>
      <c r="B113" s="1">
        <v>45806.082453703704</v>
      </c>
      <c r="C113" s="1" t="str">
        <f>TEXT(enquiry_analysis_data[[#This Row],[enquiry_date]],"mmmm-yyyy")</f>
        <v>May-2025</v>
      </c>
      <c r="D113">
        <f>YEAR(enquiry_analysis_data[[#This Row],[enquiry_date]])</f>
        <v>2025</v>
      </c>
      <c r="E113">
        <f>MONTH(enquiry_analysis_data[[#This Row],[enquiry_date]])</f>
        <v>5</v>
      </c>
      <c r="F113" t="s">
        <v>309</v>
      </c>
      <c r="G113" t="s">
        <v>310</v>
      </c>
      <c r="H113" s="2">
        <v>9000000406</v>
      </c>
      <c r="I113" t="s">
        <v>123</v>
      </c>
      <c r="J113" t="s">
        <v>32</v>
      </c>
      <c r="K113" t="s">
        <v>94</v>
      </c>
      <c r="L113" t="s">
        <v>99</v>
      </c>
      <c r="M113" t="s">
        <v>100</v>
      </c>
      <c r="N113" t="s">
        <v>101</v>
      </c>
      <c r="O113" t="s">
        <v>42</v>
      </c>
      <c r="P113" t="s">
        <v>36</v>
      </c>
      <c r="Q113" t="s">
        <v>63</v>
      </c>
      <c r="R113" t="s">
        <v>68</v>
      </c>
      <c r="S113">
        <f>IF(enquiry_analysis_data[[#This Row],[enquiry_status]]="Converted",1,0)</f>
        <v>1</v>
      </c>
      <c r="T113" t="s">
        <v>28</v>
      </c>
    </row>
    <row r="114" spans="1:20" x14ac:dyDescent="0.3">
      <c r="A114">
        <v>121</v>
      </c>
      <c r="B114" s="1">
        <v>45806.809421296297</v>
      </c>
      <c r="C114" s="1" t="str">
        <f>TEXT(enquiry_analysis_data[[#This Row],[enquiry_date]],"mmmm-yyyy")</f>
        <v>May-2025</v>
      </c>
      <c r="D114">
        <f>YEAR(enquiry_analysis_data[[#This Row],[enquiry_date]])</f>
        <v>2025</v>
      </c>
      <c r="E114">
        <f>MONTH(enquiry_analysis_data[[#This Row],[enquiry_date]])</f>
        <v>5</v>
      </c>
      <c r="F114" t="s">
        <v>205</v>
      </c>
      <c r="G114" t="s">
        <v>311</v>
      </c>
      <c r="H114" s="2">
        <v>9000000118</v>
      </c>
      <c r="I114" t="s">
        <v>48</v>
      </c>
      <c r="J114" t="s">
        <v>104</v>
      </c>
      <c r="K114" t="s">
        <v>105</v>
      </c>
      <c r="L114" t="s">
        <v>99</v>
      </c>
      <c r="M114" t="s">
        <v>100</v>
      </c>
      <c r="N114" t="s">
        <v>101</v>
      </c>
      <c r="O114" t="s">
        <v>42</v>
      </c>
      <c r="P114" t="s">
        <v>25</v>
      </c>
      <c r="Q114" t="s">
        <v>26</v>
      </c>
      <c r="R114" t="s">
        <v>45</v>
      </c>
      <c r="S114">
        <f>IF(enquiry_analysis_data[[#This Row],[enquiry_status]]="Converted",1,0)</f>
        <v>0</v>
      </c>
      <c r="T114" t="s">
        <v>28</v>
      </c>
    </row>
    <row r="115" spans="1:20" x14ac:dyDescent="0.3">
      <c r="A115">
        <v>296</v>
      </c>
      <c r="B115" s="1">
        <v>45808.069768518515</v>
      </c>
      <c r="C115" s="1" t="str">
        <f>TEXT(enquiry_analysis_data[[#This Row],[enquiry_date]],"mmmm-yyyy")</f>
        <v>May-2025</v>
      </c>
      <c r="D115">
        <f>YEAR(enquiry_analysis_data[[#This Row],[enquiry_date]])</f>
        <v>2025</v>
      </c>
      <c r="E115">
        <f>MONTH(enquiry_analysis_data[[#This Row],[enquiry_date]])</f>
        <v>5</v>
      </c>
      <c r="F115" t="s">
        <v>312</v>
      </c>
      <c r="G115" t="s">
        <v>313</v>
      </c>
      <c r="H115" s="2">
        <v>9000000293</v>
      </c>
      <c r="I115" t="s">
        <v>93</v>
      </c>
      <c r="J115" t="s">
        <v>49</v>
      </c>
      <c r="K115" t="s">
        <v>94</v>
      </c>
      <c r="L115" t="s">
        <v>144</v>
      </c>
      <c r="M115" t="s">
        <v>145</v>
      </c>
      <c r="N115" t="s">
        <v>101</v>
      </c>
      <c r="O115" t="s">
        <v>42</v>
      </c>
      <c r="P115" t="s">
        <v>43</v>
      </c>
      <c r="Q115" t="s">
        <v>53</v>
      </c>
      <c r="R115" t="s">
        <v>56</v>
      </c>
      <c r="S115">
        <f>IF(enquiry_analysis_data[[#This Row],[enquiry_status]]="Converted",1,0)</f>
        <v>0</v>
      </c>
      <c r="T115" t="s">
        <v>28</v>
      </c>
    </row>
    <row r="116" spans="1:20" x14ac:dyDescent="0.3">
      <c r="A116">
        <v>108</v>
      </c>
      <c r="B116" s="1">
        <v>45809.071817129632</v>
      </c>
      <c r="C116" s="1" t="str">
        <f>TEXT(enquiry_analysis_data[[#This Row],[enquiry_date]],"mmmm-yyyy")</f>
        <v>June-2025</v>
      </c>
      <c r="D116">
        <f>YEAR(enquiry_analysis_data[[#This Row],[enquiry_date]])</f>
        <v>2025</v>
      </c>
      <c r="E116">
        <f>MONTH(enquiry_analysis_data[[#This Row],[enquiry_date]])</f>
        <v>6</v>
      </c>
      <c r="F116" t="s">
        <v>277</v>
      </c>
      <c r="G116" t="s">
        <v>314</v>
      </c>
      <c r="H116" s="2">
        <v>9000000105</v>
      </c>
      <c r="I116" t="s">
        <v>77</v>
      </c>
      <c r="J116" t="s">
        <v>32</v>
      </c>
      <c r="K116" t="s">
        <v>67</v>
      </c>
      <c r="L116" t="s">
        <v>111</v>
      </c>
      <c r="M116" t="s">
        <v>112</v>
      </c>
      <c r="N116" t="s">
        <v>113</v>
      </c>
      <c r="O116" t="s">
        <v>42</v>
      </c>
      <c r="P116" t="s">
        <v>43</v>
      </c>
      <c r="Q116" t="s">
        <v>141</v>
      </c>
      <c r="R116" t="s">
        <v>27</v>
      </c>
      <c r="S116">
        <f>IF(enquiry_analysis_data[[#This Row],[enquiry_status]]="Converted",1,0)</f>
        <v>0</v>
      </c>
      <c r="T116" t="s">
        <v>28</v>
      </c>
    </row>
    <row r="117" spans="1:20" x14ac:dyDescent="0.3">
      <c r="A117">
        <v>145</v>
      </c>
      <c r="B117" s="1">
        <v>45809.568240740744</v>
      </c>
      <c r="C117" s="1" t="str">
        <f>TEXT(enquiry_analysis_data[[#This Row],[enquiry_date]],"mmmm-yyyy")</f>
        <v>June-2025</v>
      </c>
      <c r="D117">
        <f>YEAR(enquiry_analysis_data[[#This Row],[enquiry_date]])</f>
        <v>2025</v>
      </c>
      <c r="E117">
        <f>MONTH(enquiry_analysis_data[[#This Row],[enquiry_date]])</f>
        <v>6</v>
      </c>
      <c r="F117" t="s">
        <v>315</v>
      </c>
      <c r="G117" t="s">
        <v>316</v>
      </c>
      <c r="H117" s="2">
        <v>9000000142</v>
      </c>
      <c r="I117" t="s">
        <v>77</v>
      </c>
      <c r="J117" t="s">
        <v>49</v>
      </c>
      <c r="K117" t="s">
        <v>105</v>
      </c>
      <c r="L117" t="s">
        <v>154</v>
      </c>
      <c r="M117" t="s">
        <v>155</v>
      </c>
      <c r="N117" t="s">
        <v>156</v>
      </c>
      <c r="O117" t="s">
        <v>24</v>
      </c>
      <c r="P117" t="s">
        <v>43</v>
      </c>
      <c r="Q117" t="s">
        <v>83</v>
      </c>
      <c r="R117" t="s">
        <v>68</v>
      </c>
      <c r="S117">
        <f>IF(enquiry_analysis_data[[#This Row],[enquiry_status]]="Converted",1,0)</f>
        <v>1</v>
      </c>
      <c r="T117" t="s">
        <v>28</v>
      </c>
    </row>
    <row r="118" spans="1:20" x14ac:dyDescent="0.3">
      <c r="A118">
        <v>464</v>
      </c>
      <c r="B118" s="1">
        <v>45812.250439814816</v>
      </c>
      <c r="C118" s="1" t="str">
        <f>TEXT(enquiry_analysis_data[[#This Row],[enquiry_date]],"mmmm-yyyy")</f>
        <v>June-2025</v>
      </c>
      <c r="D118">
        <f>YEAR(enquiry_analysis_data[[#This Row],[enquiry_date]])</f>
        <v>2025</v>
      </c>
      <c r="E118">
        <f>MONTH(enquiry_analysis_data[[#This Row],[enquiry_date]])</f>
        <v>6</v>
      </c>
      <c r="F118" t="s">
        <v>317</v>
      </c>
      <c r="G118" t="s">
        <v>318</v>
      </c>
      <c r="H118" s="2">
        <v>9000000461</v>
      </c>
      <c r="I118" t="s">
        <v>123</v>
      </c>
      <c r="J118" t="s">
        <v>49</v>
      </c>
      <c r="K118" t="s">
        <v>20</v>
      </c>
      <c r="L118" t="s">
        <v>154</v>
      </c>
      <c r="M118" t="s">
        <v>155</v>
      </c>
      <c r="N118" t="s">
        <v>156</v>
      </c>
      <c r="O118" t="s">
        <v>24</v>
      </c>
      <c r="P118" t="s">
        <v>36</v>
      </c>
      <c r="Q118" t="s">
        <v>53</v>
      </c>
      <c r="R118" t="s">
        <v>68</v>
      </c>
      <c r="S118">
        <f>IF(enquiry_analysis_data[[#This Row],[enquiry_status]]="Converted",1,0)</f>
        <v>1</v>
      </c>
      <c r="T118" t="s">
        <v>28</v>
      </c>
    </row>
    <row r="119" spans="1:20" x14ac:dyDescent="0.3">
      <c r="A119">
        <v>109</v>
      </c>
      <c r="B119" s="1">
        <v>45813.484803240739</v>
      </c>
      <c r="C119" s="1" t="str">
        <f>TEXT(enquiry_analysis_data[[#This Row],[enquiry_date]],"mmmm-yyyy")</f>
        <v>June-2025</v>
      </c>
      <c r="D119">
        <f>YEAR(enquiry_analysis_data[[#This Row],[enquiry_date]])</f>
        <v>2025</v>
      </c>
      <c r="E119">
        <f>MONTH(enquiry_analysis_data[[#This Row],[enquiry_date]])</f>
        <v>6</v>
      </c>
      <c r="F119" t="s">
        <v>319</v>
      </c>
      <c r="G119" t="s">
        <v>320</v>
      </c>
      <c r="H119" s="2">
        <v>9000000106</v>
      </c>
      <c r="I119" t="s">
        <v>59</v>
      </c>
      <c r="J119" t="s">
        <v>128</v>
      </c>
      <c r="K119" t="s">
        <v>33</v>
      </c>
      <c r="L119" t="s">
        <v>78</v>
      </c>
      <c r="M119" t="s">
        <v>79</v>
      </c>
      <c r="N119" t="s">
        <v>80</v>
      </c>
      <c r="O119" t="s">
        <v>42</v>
      </c>
      <c r="P119" t="s">
        <v>52</v>
      </c>
      <c r="Q119" t="s">
        <v>138</v>
      </c>
      <c r="R119" t="s">
        <v>68</v>
      </c>
      <c r="S119">
        <f>IF(enquiry_analysis_data[[#This Row],[enquiry_status]]="Converted",1,0)</f>
        <v>1</v>
      </c>
      <c r="T119" t="s">
        <v>28</v>
      </c>
    </row>
    <row r="120" spans="1:20" x14ac:dyDescent="0.3">
      <c r="A120">
        <v>209</v>
      </c>
      <c r="B120" s="1">
        <v>45813.564282407409</v>
      </c>
      <c r="C120" s="1" t="str">
        <f>TEXT(enquiry_analysis_data[[#This Row],[enquiry_date]],"mmmm-yyyy")</f>
        <v>June-2025</v>
      </c>
      <c r="D120">
        <f>YEAR(enquiry_analysis_data[[#This Row],[enquiry_date]])</f>
        <v>2025</v>
      </c>
      <c r="E120">
        <f>MONTH(enquiry_analysis_data[[#This Row],[enquiry_date]])</f>
        <v>6</v>
      </c>
      <c r="F120" t="s">
        <v>321</v>
      </c>
      <c r="G120" t="s">
        <v>322</v>
      </c>
      <c r="H120" s="2">
        <v>9000000206</v>
      </c>
      <c r="I120" t="s">
        <v>59</v>
      </c>
      <c r="J120" t="s">
        <v>19</v>
      </c>
      <c r="K120" t="s">
        <v>20</v>
      </c>
      <c r="L120" t="s">
        <v>72</v>
      </c>
      <c r="M120" t="s">
        <v>73</v>
      </c>
      <c r="N120" t="s">
        <v>74</v>
      </c>
      <c r="O120" t="s">
        <v>24</v>
      </c>
      <c r="P120" t="s">
        <v>52</v>
      </c>
      <c r="Q120" t="s">
        <v>37</v>
      </c>
      <c r="R120" t="s">
        <v>194</v>
      </c>
      <c r="S120">
        <f>IF(enquiry_analysis_data[[#This Row],[enquiry_status]]="Converted",1,0)</f>
        <v>0</v>
      </c>
      <c r="T120" t="s">
        <v>28</v>
      </c>
    </row>
    <row r="121" spans="1:20" x14ac:dyDescent="0.3">
      <c r="A121">
        <v>470</v>
      </c>
      <c r="B121" s="1">
        <v>45814.260231481479</v>
      </c>
      <c r="C121" s="1" t="str">
        <f>TEXT(enquiry_analysis_data[[#This Row],[enquiry_date]],"mmmm-yyyy")</f>
        <v>June-2025</v>
      </c>
      <c r="D121">
        <f>YEAR(enquiry_analysis_data[[#This Row],[enquiry_date]])</f>
        <v>2025</v>
      </c>
      <c r="E121">
        <f>MONTH(enquiry_analysis_data[[#This Row],[enquiry_date]])</f>
        <v>6</v>
      </c>
      <c r="F121" t="s">
        <v>323</v>
      </c>
      <c r="G121" t="s">
        <v>324</v>
      </c>
      <c r="H121" s="2">
        <v>9000000467</v>
      </c>
      <c r="I121" t="s">
        <v>59</v>
      </c>
      <c r="J121" t="s">
        <v>49</v>
      </c>
      <c r="K121" t="s">
        <v>20</v>
      </c>
      <c r="L121" t="s">
        <v>60</v>
      </c>
      <c r="M121" t="s">
        <v>61</v>
      </c>
      <c r="N121" t="s">
        <v>62</v>
      </c>
      <c r="O121" t="s">
        <v>42</v>
      </c>
      <c r="P121" t="s">
        <v>52</v>
      </c>
      <c r="Q121" t="s">
        <v>53</v>
      </c>
      <c r="R121" t="s">
        <v>56</v>
      </c>
      <c r="S121">
        <f>IF(enquiry_analysis_data[[#This Row],[enquiry_status]]="Converted",1,0)</f>
        <v>0</v>
      </c>
      <c r="T121" t="s">
        <v>28</v>
      </c>
    </row>
    <row r="122" spans="1:20" x14ac:dyDescent="0.3">
      <c r="A122">
        <v>289</v>
      </c>
      <c r="B122" s="1">
        <v>45818.030763888892</v>
      </c>
      <c r="C122" s="1" t="str">
        <f>TEXT(enquiry_analysis_data[[#This Row],[enquiry_date]],"mmmm-yyyy")</f>
        <v>June-2025</v>
      </c>
      <c r="D122">
        <f>YEAR(enquiry_analysis_data[[#This Row],[enquiry_date]])</f>
        <v>2025</v>
      </c>
      <c r="E122">
        <f>MONTH(enquiry_analysis_data[[#This Row],[enquiry_date]])</f>
        <v>6</v>
      </c>
      <c r="F122" t="s">
        <v>325</v>
      </c>
      <c r="G122" t="s">
        <v>326</v>
      </c>
      <c r="H122" s="2">
        <v>9000000286</v>
      </c>
      <c r="I122" t="s">
        <v>66</v>
      </c>
      <c r="J122" t="s">
        <v>104</v>
      </c>
      <c r="K122" t="s">
        <v>105</v>
      </c>
      <c r="L122" t="s">
        <v>136</v>
      </c>
      <c r="M122" t="s">
        <v>137</v>
      </c>
      <c r="N122" t="s">
        <v>62</v>
      </c>
      <c r="O122" t="s">
        <v>42</v>
      </c>
      <c r="P122" t="s">
        <v>25</v>
      </c>
      <c r="Q122" t="s">
        <v>26</v>
      </c>
      <c r="R122" t="s">
        <v>68</v>
      </c>
      <c r="S122">
        <f>IF(enquiry_analysis_data[[#This Row],[enquiry_status]]="Converted",1,0)</f>
        <v>1</v>
      </c>
      <c r="T122" t="s">
        <v>28</v>
      </c>
    </row>
    <row r="123" spans="1:20" x14ac:dyDescent="0.3">
      <c r="A123">
        <v>16</v>
      </c>
      <c r="B123" s="1">
        <v>45819.028009259258</v>
      </c>
      <c r="C123" s="1" t="str">
        <f>TEXT(enquiry_analysis_data[[#This Row],[enquiry_date]],"mmmm-yyyy")</f>
        <v>June-2025</v>
      </c>
      <c r="D123">
        <f>YEAR(enquiry_analysis_data[[#This Row],[enquiry_date]])</f>
        <v>2025</v>
      </c>
      <c r="E123">
        <f>MONTH(enquiry_analysis_data[[#This Row],[enquiry_date]])</f>
        <v>6</v>
      </c>
      <c r="F123" t="s">
        <v>327</v>
      </c>
      <c r="G123" t="s">
        <v>328</v>
      </c>
      <c r="H123" s="2">
        <v>9000000013</v>
      </c>
      <c r="I123" t="s">
        <v>71</v>
      </c>
      <c r="J123" t="s">
        <v>19</v>
      </c>
      <c r="K123" t="s">
        <v>33</v>
      </c>
      <c r="L123" t="s">
        <v>21</v>
      </c>
      <c r="M123" t="s">
        <v>22</v>
      </c>
      <c r="N123" t="s">
        <v>23</v>
      </c>
      <c r="O123" t="s">
        <v>24</v>
      </c>
      <c r="P123" t="s">
        <v>43</v>
      </c>
      <c r="Q123" t="s">
        <v>83</v>
      </c>
      <c r="R123" t="s">
        <v>27</v>
      </c>
      <c r="S123">
        <f>IF(enquiry_analysis_data[[#This Row],[enquiry_status]]="Converted",1,0)</f>
        <v>0</v>
      </c>
      <c r="T123" t="s">
        <v>28</v>
      </c>
    </row>
    <row r="124" spans="1:20" x14ac:dyDescent="0.3">
      <c r="A124">
        <v>216</v>
      </c>
      <c r="B124" s="1">
        <v>45819.053599537037</v>
      </c>
      <c r="C124" s="1" t="str">
        <f>TEXT(enquiry_analysis_data[[#This Row],[enquiry_date]],"mmmm-yyyy")</f>
        <v>June-2025</v>
      </c>
      <c r="D124">
        <f>YEAR(enquiry_analysis_data[[#This Row],[enquiry_date]])</f>
        <v>2025</v>
      </c>
      <c r="E124">
        <f>MONTH(enquiry_analysis_data[[#This Row],[enquiry_date]])</f>
        <v>6</v>
      </c>
      <c r="F124" t="s">
        <v>329</v>
      </c>
      <c r="G124" t="s">
        <v>330</v>
      </c>
      <c r="H124" s="2">
        <v>9000000213</v>
      </c>
      <c r="I124" t="s">
        <v>18</v>
      </c>
      <c r="J124" t="s">
        <v>128</v>
      </c>
      <c r="K124" t="s">
        <v>20</v>
      </c>
      <c r="L124" t="s">
        <v>144</v>
      </c>
      <c r="M124" t="s">
        <v>145</v>
      </c>
      <c r="N124" t="s">
        <v>101</v>
      </c>
      <c r="O124" t="s">
        <v>42</v>
      </c>
      <c r="P124" t="s">
        <v>52</v>
      </c>
      <c r="Q124" t="s">
        <v>26</v>
      </c>
      <c r="R124" t="s">
        <v>68</v>
      </c>
      <c r="S124">
        <f>IF(enquiry_analysis_data[[#This Row],[enquiry_status]]="Converted",1,0)</f>
        <v>1</v>
      </c>
      <c r="T124" t="s">
        <v>28</v>
      </c>
    </row>
    <row r="125" spans="1:20" x14ac:dyDescent="0.3">
      <c r="A125">
        <v>155</v>
      </c>
      <c r="B125" s="1">
        <v>45819.372418981482</v>
      </c>
      <c r="C125" s="1" t="str">
        <f>TEXT(enquiry_analysis_data[[#This Row],[enquiry_date]],"mmmm-yyyy")</f>
        <v>June-2025</v>
      </c>
      <c r="D125">
        <f>YEAR(enquiry_analysis_data[[#This Row],[enquiry_date]])</f>
        <v>2025</v>
      </c>
      <c r="E125">
        <f>MONTH(enquiry_analysis_data[[#This Row],[enquiry_date]])</f>
        <v>6</v>
      </c>
      <c r="F125" t="s">
        <v>331</v>
      </c>
      <c r="G125" t="s">
        <v>332</v>
      </c>
      <c r="H125" s="2">
        <v>9000000152</v>
      </c>
      <c r="I125" t="s">
        <v>123</v>
      </c>
      <c r="J125" t="s">
        <v>19</v>
      </c>
      <c r="K125" t="s">
        <v>67</v>
      </c>
      <c r="L125" t="s">
        <v>117</v>
      </c>
      <c r="M125" t="s">
        <v>118</v>
      </c>
      <c r="N125" t="s">
        <v>119</v>
      </c>
      <c r="O125" t="s">
        <v>42</v>
      </c>
      <c r="P125" t="s">
        <v>25</v>
      </c>
      <c r="Q125" t="s">
        <v>26</v>
      </c>
      <c r="R125" t="s">
        <v>45</v>
      </c>
      <c r="S125">
        <f>IF(enquiry_analysis_data[[#This Row],[enquiry_status]]="Converted",1,0)</f>
        <v>0</v>
      </c>
      <c r="T125" t="s">
        <v>28</v>
      </c>
    </row>
    <row r="126" spans="1:20" x14ac:dyDescent="0.3">
      <c r="A126">
        <v>265</v>
      </c>
      <c r="B126" s="1">
        <v>45819.650821759256</v>
      </c>
      <c r="C126" s="1" t="str">
        <f>TEXT(enquiry_analysis_data[[#This Row],[enquiry_date]],"mmmm-yyyy")</f>
        <v>June-2025</v>
      </c>
      <c r="D126">
        <f>YEAR(enquiry_analysis_data[[#This Row],[enquiry_date]])</f>
        <v>2025</v>
      </c>
      <c r="E126">
        <f>MONTH(enquiry_analysis_data[[#This Row],[enquiry_date]])</f>
        <v>6</v>
      </c>
      <c r="F126" t="s">
        <v>269</v>
      </c>
      <c r="G126" t="s">
        <v>333</v>
      </c>
      <c r="H126" s="2">
        <v>9000000262</v>
      </c>
      <c r="I126" t="s">
        <v>123</v>
      </c>
      <c r="J126" t="s">
        <v>49</v>
      </c>
      <c r="K126" t="s">
        <v>20</v>
      </c>
      <c r="L126" t="s">
        <v>144</v>
      </c>
      <c r="M126" t="s">
        <v>145</v>
      </c>
      <c r="N126" t="s">
        <v>101</v>
      </c>
      <c r="O126" t="s">
        <v>42</v>
      </c>
      <c r="P126" t="s">
        <v>52</v>
      </c>
      <c r="Q126" t="s">
        <v>53</v>
      </c>
      <c r="R126" t="s">
        <v>68</v>
      </c>
      <c r="S126">
        <f>IF(enquiry_analysis_data[[#This Row],[enquiry_status]]="Converted",1,0)</f>
        <v>1</v>
      </c>
      <c r="T126" t="s">
        <v>28</v>
      </c>
    </row>
    <row r="127" spans="1:20" x14ac:dyDescent="0.3">
      <c r="A127">
        <v>386</v>
      </c>
      <c r="B127" s="1">
        <v>45822.033587962964</v>
      </c>
      <c r="C127" s="1" t="str">
        <f>TEXT(enquiry_analysis_data[[#This Row],[enquiry_date]],"mmmm-yyyy")</f>
        <v>June-2025</v>
      </c>
      <c r="D127">
        <f>YEAR(enquiry_analysis_data[[#This Row],[enquiry_date]])</f>
        <v>2025</v>
      </c>
      <c r="E127">
        <f>MONTH(enquiry_analysis_data[[#This Row],[enquiry_date]])</f>
        <v>6</v>
      </c>
      <c r="F127" t="s">
        <v>334</v>
      </c>
      <c r="G127" t="s">
        <v>335</v>
      </c>
      <c r="H127" s="2">
        <v>9000000383</v>
      </c>
      <c r="I127" t="s">
        <v>59</v>
      </c>
      <c r="J127" t="s">
        <v>128</v>
      </c>
      <c r="K127" t="s">
        <v>33</v>
      </c>
      <c r="L127" t="s">
        <v>245</v>
      </c>
      <c r="M127" t="s">
        <v>246</v>
      </c>
      <c r="N127" t="s">
        <v>156</v>
      </c>
      <c r="O127" t="s">
        <v>42</v>
      </c>
      <c r="P127" t="s">
        <v>52</v>
      </c>
      <c r="Q127" t="s">
        <v>53</v>
      </c>
      <c r="R127" t="s">
        <v>27</v>
      </c>
      <c r="S127">
        <f>IF(enquiry_analysis_data[[#This Row],[enquiry_status]]="Converted",1,0)</f>
        <v>0</v>
      </c>
      <c r="T127" t="s">
        <v>28</v>
      </c>
    </row>
    <row r="128" spans="1:20" x14ac:dyDescent="0.3">
      <c r="A128">
        <v>71</v>
      </c>
      <c r="B128" s="1">
        <v>45827.133344907408</v>
      </c>
      <c r="C128" s="1" t="str">
        <f>TEXT(enquiry_analysis_data[[#This Row],[enquiry_date]],"mmmm-yyyy")</f>
        <v>June-2025</v>
      </c>
      <c r="D128">
        <f>YEAR(enquiry_analysis_data[[#This Row],[enquiry_date]])</f>
        <v>2025</v>
      </c>
      <c r="E128">
        <f>MONTH(enquiry_analysis_data[[#This Row],[enquiry_date]])</f>
        <v>6</v>
      </c>
      <c r="F128" t="s">
        <v>16</v>
      </c>
      <c r="G128" t="s">
        <v>336</v>
      </c>
      <c r="H128" s="2">
        <v>9000000068</v>
      </c>
      <c r="I128" t="s">
        <v>123</v>
      </c>
      <c r="J128" t="s">
        <v>104</v>
      </c>
      <c r="K128" t="s">
        <v>105</v>
      </c>
      <c r="L128" t="s">
        <v>136</v>
      </c>
      <c r="M128" t="s">
        <v>137</v>
      </c>
      <c r="N128" t="s">
        <v>62</v>
      </c>
      <c r="O128" t="s">
        <v>24</v>
      </c>
      <c r="P128" t="s">
        <v>25</v>
      </c>
      <c r="Q128" t="s">
        <v>53</v>
      </c>
      <c r="R128" t="s">
        <v>45</v>
      </c>
      <c r="S128">
        <f>IF(enquiry_analysis_data[[#This Row],[enquiry_status]]="Converted",1,0)</f>
        <v>0</v>
      </c>
      <c r="T128" t="s">
        <v>28</v>
      </c>
    </row>
    <row r="129" spans="1:20" x14ac:dyDescent="0.3">
      <c r="A129">
        <v>440</v>
      </c>
      <c r="B129" s="1">
        <v>45827.536122685182</v>
      </c>
      <c r="C129" s="1" t="str">
        <f>TEXT(enquiry_analysis_data[[#This Row],[enquiry_date]],"mmmm-yyyy")</f>
        <v>June-2025</v>
      </c>
      <c r="D129">
        <f>YEAR(enquiry_analysis_data[[#This Row],[enquiry_date]])</f>
        <v>2025</v>
      </c>
      <c r="E129">
        <f>MONTH(enquiry_analysis_data[[#This Row],[enquiry_date]])</f>
        <v>6</v>
      </c>
      <c r="F129" t="s">
        <v>337</v>
      </c>
      <c r="G129" t="s">
        <v>338</v>
      </c>
      <c r="H129" s="2">
        <v>9000000437</v>
      </c>
      <c r="I129" t="s">
        <v>88</v>
      </c>
      <c r="J129" t="s">
        <v>104</v>
      </c>
      <c r="K129" t="s">
        <v>105</v>
      </c>
      <c r="L129" t="s">
        <v>99</v>
      </c>
      <c r="M129" t="s">
        <v>100</v>
      </c>
      <c r="N129" t="s">
        <v>101</v>
      </c>
      <c r="O129" t="s">
        <v>42</v>
      </c>
      <c r="P129" t="s">
        <v>25</v>
      </c>
      <c r="Q129" t="s">
        <v>53</v>
      </c>
      <c r="R129" t="s">
        <v>56</v>
      </c>
      <c r="S129">
        <f>IF(enquiry_analysis_data[[#This Row],[enquiry_status]]="Converted",1,0)</f>
        <v>0</v>
      </c>
      <c r="T129" t="s">
        <v>28</v>
      </c>
    </row>
    <row r="130" spans="1:20" x14ac:dyDescent="0.3">
      <c r="A130">
        <v>31</v>
      </c>
      <c r="B130" s="1">
        <v>45830.494004629632</v>
      </c>
      <c r="C130" s="1" t="str">
        <f>TEXT(enquiry_analysis_data[[#This Row],[enquiry_date]],"mmmm-yyyy")</f>
        <v>June-2025</v>
      </c>
      <c r="D130">
        <f>YEAR(enquiry_analysis_data[[#This Row],[enquiry_date]])</f>
        <v>2025</v>
      </c>
      <c r="E130">
        <f>MONTH(enquiry_analysis_data[[#This Row],[enquiry_date]])</f>
        <v>6</v>
      </c>
      <c r="F130" t="s">
        <v>339</v>
      </c>
      <c r="G130" t="s">
        <v>340</v>
      </c>
      <c r="H130" s="2">
        <v>9000000028</v>
      </c>
      <c r="I130" t="s">
        <v>71</v>
      </c>
      <c r="J130" t="s">
        <v>49</v>
      </c>
      <c r="K130" t="s">
        <v>105</v>
      </c>
      <c r="L130" t="s">
        <v>60</v>
      </c>
      <c r="M130" t="s">
        <v>61</v>
      </c>
      <c r="N130" t="s">
        <v>62</v>
      </c>
      <c r="O130" t="s">
        <v>42</v>
      </c>
      <c r="P130" t="s">
        <v>25</v>
      </c>
      <c r="Q130" t="s">
        <v>83</v>
      </c>
      <c r="R130" t="s">
        <v>56</v>
      </c>
      <c r="S130">
        <f>IF(enquiry_analysis_data[[#This Row],[enquiry_status]]="Converted",1,0)</f>
        <v>0</v>
      </c>
      <c r="T130" t="s">
        <v>28</v>
      </c>
    </row>
    <row r="131" spans="1:20" x14ac:dyDescent="0.3">
      <c r="A131">
        <v>111</v>
      </c>
      <c r="B131" s="1">
        <v>45830.837013888886</v>
      </c>
      <c r="C131" s="1" t="str">
        <f>TEXT(enquiry_analysis_data[[#This Row],[enquiry_date]],"mmmm-yyyy")</f>
        <v>June-2025</v>
      </c>
      <c r="D131">
        <f>YEAR(enquiry_analysis_data[[#This Row],[enquiry_date]])</f>
        <v>2025</v>
      </c>
      <c r="E131">
        <f>MONTH(enquiry_analysis_data[[#This Row],[enquiry_date]])</f>
        <v>6</v>
      </c>
      <c r="F131" t="s">
        <v>341</v>
      </c>
      <c r="G131" t="s">
        <v>342</v>
      </c>
      <c r="H131" s="2">
        <v>9000000108</v>
      </c>
      <c r="I131" t="s">
        <v>123</v>
      </c>
      <c r="J131" t="s">
        <v>32</v>
      </c>
      <c r="K131" t="s">
        <v>33</v>
      </c>
      <c r="L131" t="s">
        <v>111</v>
      </c>
      <c r="M131" t="s">
        <v>112</v>
      </c>
      <c r="N131" t="s">
        <v>113</v>
      </c>
      <c r="O131" t="s">
        <v>24</v>
      </c>
      <c r="P131" t="s">
        <v>43</v>
      </c>
      <c r="Q131" t="s">
        <v>53</v>
      </c>
      <c r="R131" t="s">
        <v>68</v>
      </c>
      <c r="S131">
        <f>IF(enquiry_analysis_data[[#This Row],[enquiry_status]]="Converted",1,0)</f>
        <v>1</v>
      </c>
      <c r="T131" t="s">
        <v>28</v>
      </c>
    </row>
    <row r="132" spans="1:20" x14ac:dyDescent="0.3">
      <c r="A132">
        <v>268</v>
      </c>
      <c r="B132" s="1">
        <v>45831.0312962963</v>
      </c>
      <c r="C132" s="1" t="str">
        <f>TEXT(enquiry_analysis_data[[#This Row],[enquiry_date]],"mmmm-yyyy")</f>
        <v>June-2025</v>
      </c>
      <c r="D132">
        <f>YEAR(enquiry_analysis_data[[#This Row],[enquiry_date]])</f>
        <v>2025</v>
      </c>
      <c r="E132">
        <f>MONTH(enquiry_analysis_data[[#This Row],[enquiry_date]])</f>
        <v>6</v>
      </c>
      <c r="F132" t="s">
        <v>285</v>
      </c>
      <c r="G132" t="s">
        <v>343</v>
      </c>
      <c r="H132" s="2">
        <v>9000000265</v>
      </c>
      <c r="I132" t="s">
        <v>93</v>
      </c>
      <c r="J132" t="s">
        <v>104</v>
      </c>
      <c r="K132" t="s">
        <v>105</v>
      </c>
      <c r="L132" t="s">
        <v>144</v>
      </c>
      <c r="M132" t="s">
        <v>145</v>
      </c>
      <c r="N132" t="s">
        <v>101</v>
      </c>
      <c r="O132" t="s">
        <v>42</v>
      </c>
      <c r="P132" t="s">
        <v>25</v>
      </c>
      <c r="Q132" t="s">
        <v>141</v>
      </c>
      <c r="R132" t="s">
        <v>114</v>
      </c>
      <c r="S132">
        <f>IF(enquiry_analysis_data[[#This Row],[enquiry_status]]="Converted",1,0)</f>
        <v>0</v>
      </c>
      <c r="T132" t="s">
        <v>28</v>
      </c>
    </row>
    <row r="133" spans="1:20" x14ac:dyDescent="0.3">
      <c r="A133">
        <v>158</v>
      </c>
      <c r="B133" s="1">
        <v>45833.65934027778</v>
      </c>
      <c r="C133" s="1" t="str">
        <f>TEXT(enquiry_analysis_data[[#This Row],[enquiry_date]],"mmmm-yyyy")</f>
        <v>June-2025</v>
      </c>
      <c r="D133">
        <f>YEAR(enquiry_analysis_data[[#This Row],[enquiry_date]])</f>
        <v>2025</v>
      </c>
      <c r="E133">
        <f>MONTH(enquiry_analysis_data[[#This Row],[enquiry_date]])</f>
        <v>6</v>
      </c>
      <c r="F133" t="s">
        <v>344</v>
      </c>
      <c r="G133" t="s">
        <v>345</v>
      </c>
      <c r="H133" s="2">
        <v>9000000155</v>
      </c>
      <c r="I133" t="s">
        <v>66</v>
      </c>
      <c r="J133" t="s">
        <v>49</v>
      </c>
      <c r="K133" t="s">
        <v>33</v>
      </c>
      <c r="L133" t="s">
        <v>154</v>
      </c>
      <c r="M133" t="s">
        <v>155</v>
      </c>
      <c r="N133" t="s">
        <v>156</v>
      </c>
      <c r="O133" t="s">
        <v>42</v>
      </c>
      <c r="P133" t="s">
        <v>25</v>
      </c>
      <c r="Q133" t="s">
        <v>141</v>
      </c>
      <c r="R133" t="s">
        <v>68</v>
      </c>
      <c r="S133">
        <f>IF(enquiry_analysis_data[[#This Row],[enquiry_status]]="Converted",1,0)</f>
        <v>1</v>
      </c>
      <c r="T133" t="s">
        <v>28</v>
      </c>
    </row>
    <row r="134" spans="1:20" x14ac:dyDescent="0.3">
      <c r="A134">
        <v>293</v>
      </c>
      <c r="B134" s="1">
        <v>45834.102569444447</v>
      </c>
      <c r="C134" s="1" t="str">
        <f>TEXT(enquiry_analysis_data[[#This Row],[enquiry_date]],"mmmm-yyyy")</f>
        <v>June-2025</v>
      </c>
      <c r="D134">
        <f>YEAR(enquiry_analysis_data[[#This Row],[enquiry_date]])</f>
        <v>2025</v>
      </c>
      <c r="E134">
        <f>MONTH(enquiry_analysis_data[[#This Row],[enquiry_date]])</f>
        <v>6</v>
      </c>
      <c r="F134" t="s">
        <v>323</v>
      </c>
      <c r="G134" t="s">
        <v>346</v>
      </c>
      <c r="H134" s="2">
        <v>9000000290</v>
      </c>
      <c r="I134" t="s">
        <v>48</v>
      </c>
      <c r="J134" t="s">
        <v>19</v>
      </c>
      <c r="K134" t="s">
        <v>33</v>
      </c>
      <c r="L134" t="s">
        <v>60</v>
      </c>
      <c r="M134" t="s">
        <v>61</v>
      </c>
      <c r="N134" t="s">
        <v>62</v>
      </c>
      <c r="O134" t="s">
        <v>24</v>
      </c>
      <c r="P134" t="s">
        <v>52</v>
      </c>
      <c r="Q134" t="s">
        <v>53</v>
      </c>
      <c r="R134" t="s">
        <v>56</v>
      </c>
      <c r="S134">
        <f>IF(enquiry_analysis_data[[#This Row],[enquiry_status]]="Converted",1,0)</f>
        <v>0</v>
      </c>
      <c r="T134" t="s">
        <v>28</v>
      </c>
    </row>
    <row r="135" spans="1:20" x14ac:dyDescent="0.3">
      <c r="A135">
        <v>481</v>
      </c>
      <c r="B135" s="1">
        <v>45834.126481481479</v>
      </c>
      <c r="C135" s="1" t="str">
        <f>TEXT(enquiry_analysis_data[[#This Row],[enquiry_date]],"mmmm-yyyy")</f>
        <v>June-2025</v>
      </c>
      <c r="D135">
        <f>YEAR(enquiry_analysis_data[[#This Row],[enquiry_date]])</f>
        <v>2025</v>
      </c>
      <c r="E135">
        <f>MONTH(enquiry_analysis_data[[#This Row],[enquiry_date]])</f>
        <v>6</v>
      </c>
      <c r="F135" t="s">
        <v>347</v>
      </c>
      <c r="G135" t="s">
        <v>348</v>
      </c>
      <c r="H135" s="2">
        <v>9000000478</v>
      </c>
      <c r="I135" t="s">
        <v>31</v>
      </c>
      <c r="J135" t="s">
        <v>49</v>
      </c>
      <c r="K135" t="s">
        <v>20</v>
      </c>
      <c r="L135" t="s">
        <v>40</v>
      </c>
      <c r="M135" t="s">
        <v>41</v>
      </c>
      <c r="N135" t="s">
        <v>41</v>
      </c>
      <c r="O135" t="s">
        <v>24</v>
      </c>
      <c r="P135" t="s">
        <v>25</v>
      </c>
      <c r="Q135" t="s">
        <v>37</v>
      </c>
      <c r="R135" t="s">
        <v>56</v>
      </c>
      <c r="S135">
        <f>IF(enquiry_analysis_data[[#This Row],[enquiry_status]]="Converted",1,0)</f>
        <v>0</v>
      </c>
      <c r="T135" t="s">
        <v>28</v>
      </c>
    </row>
    <row r="136" spans="1:20" x14ac:dyDescent="0.3">
      <c r="A136">
        <v>34</v>
      </c>
      <c r="B136" s="1">
        <v>45835.066388888888</v>
      </c>
      <c r="C136" s="1" t="str">
        <f>TEXT(enquiry_analysis_data[[#This Row],[enquiry_date]],"mmmm-yyyy")</f>
        <v>June-2025</v>
      </c>
      <c r="D136">
        <f>YEAR(enquiry_analysis_data[[#This Row],[enquiry_date]])</f>
        <v>2025</v>
      </c>
      <c r="E136">
        <f>MONTH(enquiry_analysis_data[[#This Row],[enquiry_date]])</f>
        <v>6</v>
      </c>
      <c r="F136" t="s">
        <v>349</v>
      </c>
      <c r="G136" t="s">
        <v>350</v>
      </c>
      <c r="H136" s="2">
        <v>9000000031</v>
      </c>
      <c r="I136" t="s">
        <v>77</v>
      </c>
      <c r="J136" t="s">
        <v>19</v>
      </c>
      <c r="K136" t="s">
        <v>67</v>
      </c>
      <c r="L136" t="s">
        <v>60</v>
      </c>
      <c r="M136" t="s">
        <v>61</v>
      </c>
      <c r="N136" t="s">
        <v>62</v>
      </c>
      <c r="O136" t="s">
        <v>24</v>
      </c>
      <c r="P136" t="s">
        <v>36</v>
      </c>
      <c r="Q136" t="s">
        <v>26</v>
      </c>
      <c r="R136" t="s">
        <v>27</v>
      </c>
      <c r="S136">
        <f>IF(enquiry_analysis_data[[#This Row],[enquiry_status]]="Converted",1,0)</f>
        <v>0</v>
      </c>
      <c r="T136" t="s">
        <v>28</v>
      </c>
    </row>
    <row r="137" spans="1:20" x14ac:dyDescent="0.3">
      <c r="A137">
        <v>294</v>
      </c>
      <c r="B137" s="1">
        <v>45835.089375000003</v>
      </c>
      <c r="C137" s="1" t="str">
        <f>TEXT(enquiry_analysis_data[[#This Row],[enquiry_date]],"mmmm-yyyy")</f>
        <v>June-2025</v>
      </c>
      <c r="D137">
        <f>YEAR(enquiry_analysis_data[[#This Row],[enquiry_date]])</f>
        <v>2025</v>
      </c>
      <c r="E137">
        <f>MONTH(enquiry_analysis_data[[#This Row],[enquiry_date]])</f>
        <v>6</v>
      </c>
      <c r="F137" t="s">
        <v>351</v>
      </c>
      <c r="G137" t="s">
        <v>352</v>
      </c>
      <c r="H137" s="2">
        <v>9000000291</v>
      </c>
      <c r="I137" t="s">
        <v>18</v>
      </c>
      <c r="J137" t="s">
        <v>49</v>
      </c>
      <c r="K137" t="s">
        <v>94</v>
      </c>
      <c r="L137" t="s">
        <v>72</v>
      </c>
      <c r="M137" t="s">
        <v>73</v>
      </c>
      <c r="N137" t="s">
        <v>74</v>
      </c>
      <c r="O137" t="s">
        <v>42</v>
      </c>
      <c r="P137" t="s">
        <v>43</v>
      </c>
      <c r="Q137" t="s">
        <v>37</v>
      </c>
      <c r="R137" t="s">
        <v>27</v>
      </c>
      <c r="S137">
        <f>IF(enquiry_analysis_data[[#This Row],[enquiry_status]]="Converted",1,0)</f>
        <v>0</v>
      </c>
      <c r="T137" t="s">
        <v>28</v>
      </c>
    </row>
    <row r="138" spans="1:20" x14ac:dyDescent="0.3">
      <c r="A138">
        <v>188</v>
      </c>
      <c r="B138" s="1">
        <v>45837.035740740743</v>
      </c>
      <c r="C138" s="1" t="str">
        <f>TEXT(enquiry_analysis_data[[#This Row],[enquiry_date]],"mmmm-yyyy")</f>
        <v>June-2025</v>
      </c>
      <c r="D138">
        <f>YEAR(enquiry_analysis_data[[#This Row],[enquiry_date]])</f>
        <v>2025</v>
      </c>
      <c r="E138">
        <f>MONTH(enquiry_analysis_data[[#This Row],[enquiry_date]])</f>
        <v>6</v>
      </c>
      <c r="F138" t="s">
        <v>16</v>
      </c>
      <c r="G138" t="s">
        <v>353</v>
      </c>
      <c r="H138" s="2">
        <v>9000000185</v>
      </c>
      <c r="I138" t="s">
        <v>71</v>
      </c>
      <c r="J138" t="s">
        <v>128</v>
      </c>
      <c r="K138" t="s">
        <v>20</v>
      </c>
      <c r="L138" t="s">
        <v>136</v>
      </c>
      <c r="M138" t="s">
        <v>137</v>
      </c>
      <c r="N138" t="s">
        <v>62</v>
      </c>
      <c r="O138" t="s">
        <v>24</v>
      </c>
      <c r="P138" t="s">
        <v>43</v>
      </c>
      <c r="Q138" t="s">
        <v>44</v>
      </c>
      <c r="R138" t="s">
        <v>68</v>
      </c>
      <c r="S138">
        <f>IF(enquiry_analysis_data[[#This Row],[enquiry_status]]="Converted",1,0)</f>
        <v>1</v>
      </c>
      <c r="T138" t="s">
        <v>28</v>
      </c>
    </row>
    <row r="139" spans="1:20" x14ac:dyDescent="0.3">
      <c r="A139">
        <v>261</v>
      </c>
      <c r="B139" s="1">
        <v>45838.16505787037</v>
      </c>
      <c r="C139" s="1" t="str">
        <f>TEXT(enquiry_analysis_data[[#This Row],[enquiry_date]],"mmmm-yyyy")</f>
        <v>June-2025</v>
      </c>
      <c r="D139">
        <f>YEAR(enquiry_analysis_data[[#This Row],[enquiry_date]])</f>
        <v>2025</v>
      </c>
      <c r="E139">
        <f>MONTH(enquiry_analysis_data[[#This Row],[enquiry_date]])</f>
        <v>6</v>
      </c>
      <c r="F139" t="s">
        <v>354</v>
      </c>
      <c r="G139" t="s">
        <v>355</v>
      </c>
      <c r="H139" s="2">
        <v>9000000258</v>
      </c>
      <c r="I139" t="s">
        <v>18</v>
      </c>
      <c r="J139" t="s">
        <v>49</v>
      </c>
      <c r="K139" t="s">
        <v>20</v>
      </c>
      <c r="L139" t="s">
        <v>21</v>
      </c>
      <c r="M139" t="s">
        <v>22</v>
      </c>
      <c r="N139" t="s">
        <v>23</v>
      </c>
      <c r="O139" t="s">
        <v>42</v>
      </c>
      <c r="P139" t="s">
        <v>43</v>
      </c>
      <c r="Q139" t="s">
        <v>37</v>
      </c>
      <c r="R139" t="s">
        <v>68</v>
      </c>
      <c r="S139">
        <f>IF(enquiry_analysis_data[[#This Row],[enquiry_status]]="Converted",1,0)</f>
        <v>1</v>
      </c>
      <c r="T139" t="s">
        <v>28</v>
      </c>
    </row>
    <row r="140" spans="1:20" x14ac:dyDescent="0.3">
      <c r="A140">
        <v>59</v>
      </c>
      <c r="B140" s="1">
        <v>45838.721087962964</v>
      </c>
      <c r="C140" s="1" t="str">
        <f>TEXT(enquiry_analysis_data[[#This Row],[enquiry_date]],"mmmm-yyyy")</f>
        <v>June-2025</v>
      </c>
      <c r="D140">
        <f>YEAR(enquiry_analysis_data[[#This Row],[enquiry_date]])</f>
        <v>2025</v>
      </c>
      <c r="E140">
        <f>MONTH(enquiry_analysis_data[[#This Row],[enquiry_date]])</f>
        <v>6</v>
      </c>
      <c r="F140" t="s">
        <v>306</v>
      </c>
      <c r="G140" t="s">
        <v>356</v>
      </c>
      <c r="H140" s="2">
        <v>9000000056</v>
      </c>
      <c r="I140" t="s">
        <v>123</v>
      </c>
      <c r="J140" t="s">
        <v>19</v>
      </c>
      <c r="K140" t="s">
        <v>94</v>
      </c>
      <c r="L140" t="s">
        <v>78</v>
      </c>
      <c r="M140" t="s">
        <v>79</v>
      </c>
      <c r="N140" t="s">
        <v>80</v>
      </c>
      <c r="O140" t="s">
        <v>42</v>
      </c>
      <c r="P140" t="s">
        <v>25</v>
      </c>
      <c r="Q140" t="s">
        <v>141</v>
      </c>
      <c r="R140" t="s">
        <v>45</v>
      </c>
      <c r="S140">
        <f>IF(enquiry_analysis_data[[#This Row],[enquiry_status]]="Converted",1,0)</f>
        <v>0</v>
      </c>
      <c r="T140" t="s">
        <v>28</v>
      </c>
    </row>
    <row r="141" spans="1:20" x14ac:dyDescent="0.3">
      <c r="A141">
        <v>443</v>
      </c>
      <c r="B141" s="1">
        <v>45839.098726851851</v>
      </c>
      <c r="C141" s="1" t="str">
        <f>TEXT(enquiry_analysis_data[[#This Row],[enquiry_date]],"mmmm-yyyy")</f>
        <v>July-2025</v>
      </c>
      <c r="D141">
        <f>YEAR(enquiry_analysis_data[[#This Row],[enquiry_date]])</f>
        <v>2025</v>
      </c>
      <c r="E141">
        <f>MONTH(enquiry_analysis_data[[#This Row],[enquiry_date]])</f>
        <v>7</v>
      </c>
      <c r="F141" t="s">
        <v>357</v>
      </c>
      <c r="G141" t="s">
        <v>358</v>
      </c>
      <c r="H141" s="2">
        <v>9000000440</v>
      </c>
      <c r="I141" t="s">
        <v>77</v>
      </c>
      <c r="J141" t="s">
        <v>19</v>
      </c>
      <c r="K141" t="s">
        <v>20</v>
      </c>
      <c r="L141" t="s">
        <v>245</v>
      </c>
      <c r="M141" t="s">
        <v>246</v>
      </c>
      <c r="N141" t="s">
        <v>156</v>
      </c>
      <c r="O141" t="s">
        <v>42</v>
      </c>
      <c r="P141" t="s">
        <v>43</v>
      </c>
      <c r="Q141" t="s">
        <v>141</v>
      </c>
      <c r="R141" t="s">
        <v>114</v>
      </c>
      <c r="S141">
        <f>IF(enquiry_analysis_data[[#This Row],[enquiry_status]]="Converted",1,0)</f>
        <v>0</v>
      </c>
      <c r="T141" t="s">
        <v>28</v>
      </c>
    </row>
    <row r="142" spans="1:20" x14ac:dyDescent="0.3">
      <c r="A142">
        <v>373</v>
      </c>
      <c r="B142" s="1">
        <v>45840.542048611111</v>
      </c>
      <c r="C142" s="1" t="str">
        <f>TEXT(enquiry_analysis_data[[#This Row],[enquiry_date]],"mmmm-yyyy")</f>
        <v>July-2025</v>
      </c>
      <c r="D142">
        <f>YEAR(enquiry_analysis_data[[#This Row],[enquiry_date]])</f>
        <v>2025</v>
      </c>
      <c r="E142">
        <f>MONTH(enquiry_analysis_data[[#This Row],[enquiry_date]])</f>
        <v>7</v>
      </c>
      <c r="F142" t="s">
        <v>359</v>
      </c>
      <c r="G142" t="s">
        <v>360</v>
      </c>
      <c r="H142" s="2">
        <v>9000000370</v>
      </c>
      <c r="I142" t="s">
        <v>88</v>
      </c>
      <c r="J142" t="s">
        <v>49</v>
      </c>
      <c r="K142" t="s">
        <v>20</v>
      </c>
      <c r="L142" t="s">
        <v>99</v>
      </c>
      <c r="M142" t="s">
        <v>100</v>
      </c>
      <c r="N142" t="s">
        <v>101</v>
      </c>
      <c r="O142" t="s">
        <v>42</v>
      </c>
      <c r="P142" t="s">
        <v>36</v>
      </c>
      <c r="Q142" t="s">
        <v>26</v>
      </c>
      <c r="R142" t="s">
        <v>45</v>
      </c>
      <c r="S142">
        <f>IF(enquiry_analysis_data[[#This Row],[enquiry_status]]="Converted",1,0)</f>
        <v>0</v>
      </c>
      <c r="T142" t="s">
        <v>28</v>
      </c>
    </row>
    <row r="143" spans="1:20" x14ac:dyDescent="0.3">
      <c r="A143">
        <v>166</v>
      </c>
      <c r="B143" s="1">
        <v>45841.916631944441</v>
      </c>
      <c r="C143" s="1" t="str">
        <f>TEXT(enquiry_analysis_data[[#This Row],[enquiry_date]],"mmmm-yyyy")</f>
        <v>July-2025</v>
      </c>
      <c r="D143">
        <f>YEAR(enquiry_analysis_data[[#This Row],[enquiry_date]])</f>
        <v>2025</v>
      </c>
      <c r="E143">
        <f>MONTH(enquiry_analysis_data[[#This Row],[enquiry_date]])</f>
        <v>7</v>
      </c>
      <c r="F143" t="s">
        <v>361</v>
      </c>
      <c r="G143" t="s">
        <v>362</v>
      </c>
      <c r="H143" s="2">
        <v>9000000163</v>
      </c>
      <c r="I143" t="s">
        <v>31</v>
      </c>
      <c r="J143" t="s">
        <v>19</v>
      </c>
      <c r="K143" t="s">
        <v>33</v>
      </c>
      <c r="L143" t="s">
        <v>117</v>
      </c>
      <c r="M143" t="s">
        <v>118</v>
      </c>
      <c r="N143" t="s">
        <v>119</v>
      </c>
      <c r="O143" t="s">
        <v>42</v>
      </c>
      <c r="P143" t="s">
        <v>25</v>
      </c>
      <c r="Q143" t="s">
        <v>53</v>
      </c>
      <c r="R143" t="s">
        <v>56</v>
      </c>
      <c r="S143">
        <f>IF(enquiry_analysis_data[[#This Row],[enquiry_status]]="Converted",1,0)</f>
        <v>0</v>
      </c>
      <c r="T143" t="s">
        <v>28</v>
      </c>
    </row>
    <row r="144" spans="1:20" x14ac:dyDescent="0.3">
      <c r="A144">
        <v>354</v>
      </c>
      <c r="B144" s="1">
        <v>45842.920856481483</v>
      </c>
      <c r="C144" s="1" t="str">
        <f>TEXT(enquiry_analysis_data[[#This Row],[enquiry_date]],"mmmm-yyyy")</f>
        <v>July-2025</v>
      </c>
      <c r="D144">
        <f>YEAR(enquiry_analysis_data[[#This Row],[enquiry_date]])</f>
        <v>2025</v>
      </c>
      <c r="E144">
        <f>MONTH(enquiry_analysis_data[[#This Row],[enquiry_date]])</f>
        <v>7</v>
      </c>
      <c r="F144" t="s">
        <v>69</v>
      </c>
      <c r="G144" t="s">
        <v>363</v>
      </c>
      <c r="H144" s="2">
        <v>9000000351</v>
      </c>
      <c r="I144" t="s">
        <v>18</v>
      </c>
      <c r="J144" t="s">
        <v>32</v>
      </c>
      <c r="K144" t="s">
        <v>33</v>
      </c>
      <c r="L144" t="s">
        <v>34</v>
      </c>
      <c r="M144" t="s">
        <v>35</v>
      </c>
      <c r="N144" t="s">
        <v>35</v>
      </c>
      <c r="O144" t="s">
        <v>42</v>
      </c>
      <c r="P144" t="s">
        <v>52</v>
      </c>
      <c r="Q144" t="s">
        <v>63</v>
      </c>
      <c r="R144" t="s">
        <v>114</v>
      </c>
      <c r="S144">
        <f>IF(enquiry_analysis_data[[#This Row],[enquiry_status]]="Converted",1,0)</f>
        <v>0</v>
      </c>
      <c r="T144" t="s">
        <v>28</v>
      </c>
    </row>
    <row r="145" spans="1:20" x14ac:dyDescent="0.3">
      <c r="A145">
        <v>250</v>
      </c>
      <c r="B145" s="1">
        <v>45843.730138888888</v>
      </c>
      <c r="C145" s="1" t="str">
        <f>TEXT(enquiry_analysis_data[[#This Row],[enquiry_date]],"mmmm-yyyy")</f>
        <v>July-2025</v>
      </c>
      <c r="D145">
        <f>YEAR(enquiry_analysis_data[[#This Row],[enquiry_date]])</f>
        <v>2025</v>
      </c>
      <c r="E145">
        <f>MONTH(enquiry_analysis_data[[#This Row],[enquiry_date]])</f>
        <v>7</v>
      </c>
      <c r="F145" t="s">
        <v>233</v>
      </c>
      <c r="G145" t="s">
        <v>364</v>
      </c>
      <c r="H145" s="2">
        <v>9000000247</v>
      </c>
      <c r="I145" t="s">
        <v>31</v>
      </c>
      <c r="J145" t="s">
        <v>128</v>
      </c>
      <c r="K145" t="s">
        <v>33</v>
      </c>
      <c r="L145" t="s">
        <v>117</v>
      </c>
      <c r="M145" t="s">
        <v>118</v>
      </c>
      <c r="N145" t="s">
        <v>119</v>
      </c>
      <c r="O145" t="s">
        <v>42</v>
      </c>
      <c r="P145" t="s">
        <v>52</v>
      </c>
      <c r="Q145" t="s">
        <v>83</v>
      </c>
      <c r="R145" t="s">
        <v>27</v>
      </c>
      <c r="S145">
        <f>IF(enquiry_analysis_data[[#This Row],[enquiry_status]]="Converted",1,0)</f>
        <v>0</v>
      </c>
      <c r="T145" t="s">
        <v>28</v>
      </c>
    </row>
    <row r="146" spans="1:20" x14ac:dyDescent="0.3">
      <c r="A146">
        <v>39</v>
      </c>
      <c r="B146" s="1">
        <v>45844.68378472222</v>
      </c>
      <c r="C146" s="1" t="str">
        <f>TEXT(enquiry_analysis_data[[#This Row],[enquiry_date]],"mmmm-yyyy")</f>
        <v>July-2025</v>
      </c>
      <c r="D146">
        <f>YEAR(enquiry_analysis_data[[#This Row],[enquiry_date]])</f>
        <v>2025</v>
      </c>
      <c r="E146">
        <f>MONTH(enquiry_analysis_data[[#This Row],[enquiry_date]])</f>
        <v>7</v>
      </c>
      <c r="F146" t="s">
        <v>365</v>
      </c>
      <c r="G146" t="s">
        <v>366</v>
      </c>
      <c r="H146" s="2">
        <v>9000000036</v>
      </c>
      <c r="I146" t="s">
        <v>93</v>
      </c>
      <c r="J146" t="s">
        <v>19</v>
      </c>
      <c r="K146" t="s">
        <v>33</v>
      </c>
      <c r="L146" t="s">
        <v>78</v>
      </c>
      <c r="M146" t="s">
        <v>79</v>
      </c>
      <c r="N146" t="s">
        <v>80</v>
      </c>
      <c r="O146" t="s">
        <v>24</v>
      </c>
      <c r="P146" t="s">
        <v>52</v>
      </c>
      <c r="Q146" t="s">
        <v>26</v>
      </c>
      <c r="R146" t="s">
        <v>114</v>
      </c>
      <c r="S146">
        <f>IF(enquiry_analysis_data[[#This Row],[enquiry_status]]="Converted",1,0)</f>
        <v>0</v>
      </c>
      <c r="T146" t="s">
        <v>28</v>
      </c>
    </row>
    <row r="147" spans="1:20" x14ac:dyDescent="0.3">
      <c r="A147">
        <v>181</v>
      </c>
      <c r="B147" s="1">
        <v>45845.540520833332</v>
      </c>
      <c r="C147" s="1" t="str">
        <f>TEXT(enquiry_analysis_data[[#This Row],[enquiry_date]],"mmmm-yyyy")</f>
        <v>July-2025</v>
      </c>
      <c r="D147">
        <f>YEAR(enquiry_analysis_data[[#This Row],[enquiry_date]])</f>
        <v>2025</v>
      </c>
      <c r="E147">
        <f>MONTH(enquiry_analysis_data[[#This Row],[enquiry_date]])</f>
        <v>7</v>
      </c>
      <c r="F147" t="s">
        <v>186</v>
      </c>
      <c r="G147" t="s">
        <v>367</v>
      </c>
      <c r="H147" s="2">
        <v>9000000178</v>
      </c>
      <c r="I147" t="s">
        <v>66</v>
      </c>
      <c r="J147" t="s">
        <v>19</v>
      </c>
      <c r="K147" t="s">
        <v>67</v>
      </c>
      <c r="L147" t="s">
        <v>245</v>
      </c>
      <c r="M147" t="s">
        <v>246</v>
      </c>
      <c r="N147" t="s">
        <v>156</v>
      </c>
      <c r="O147" t="s">
        <v>24</v>
      </c>
      <c r="P147" t="s">
        <v>43</v>
      </c>
      <c r="Q147" t="s">
        <v>63</v>
      </c>
      <c r="R147" t="s">
        <v>114</v>
      </c>
      <c r="S147">
        <f>IF(enquiry_analysis_data[[#This Row],[enquiry_status]]="Converted",1,0)</f>
        <v>0</v>
      </c>
      <c r="T147" t="s">
        <v>28</v>
      </c>
    </row>
    <row r="148" spans="1:20" x14ac:dyDescent="0.3">
      <c r="A148">
        <v>30</v>
      </c>
      <c r="B148" s="1">
        <v>45845.841782407406</v>
      </c>
      <c r="C148" s="1" t="str">
        <f>TEXT(enquiry_analysis_data[[#This Row],[enquiry_date]],"mmmm-yyyy")</f>
        <v>July-2025</v>
      </c>
      <c r="D148">
        <f>YEAR(enquiry_analysis_data[[#This Row],[enquiry_date]])</f>
        <v>2025</v>
      </c>
      <c r="E148">
        <f>MONTH(enquiry_analysis_data[[#This Row],[enquiry_date]])</f>
        <v>7</v>
      </c>
      <c r="F148" t="s">
        <v>221</v>
      </c>
      <c r="G148" t="s">
        <v>368</v>
      </c>
      <c r="H148" s="2">
        <v>9000000027</v>
      </c>
      <c r="I148" t="s">
        <v>71</v>
      </c>
      <c r="J148" t="s">
        <v>19</v>
      </c>
      <c r="K148" t="s">
        <v>94</v>
      </c>
      <c r="L148" t="s">
        <v>50</v>
      </c>
      <c r="M148" t="s">
        <v>51</v>
      </c>
      <c r="N148" t="s">
        <v>23</v>
      </c>
      <c r="O148" t="s">
        <v>24</v>
      </c>
      <c r="P148" t="s">
        <v>43</v>
      </c>
      <c r="Q148" t="s">
        <v>138</v>
      </c>
      <c r="R148" t="s">
        <v>56</v>
      </c>
      <c r="S148">
        <f>IF(enquiry_analysis_data[[#This Row],[enquiry_status]]="Converted",1,0)</f>
        <v>0</v>
      </c>
      <c r="T148" t="s">
        <v>28</v>
      </c>
    </row>
    <row r="149" spans="1:20" x14ac:dyDescent="0.3">
      <c r="A149">
        <v>58</v>
      </c>
      <c r="B149" s="1">
        <v>45848.048750000002</v>
      </c>
      <c r="C149" s="1" t="str">
        <f>TEXT(enquiry_analysis_data[[#This Row],[enquiry_date]],"mmmm-yyyy")</f>
        <v>July-2025</v>
      </c>
      <c r="D149">
        <f>YEAR(enquiry_analysis_data[[#This Row],[enquiry_date]])</f>
        <v>2025</v>
      </c>
      <c r="E149">
        <f>MONTH(enquiry_analysis_data[[#This Row],[enquiry_date]])</f>
        <v>7</v>
      </c>
      <c r="F149" t="s">
        <v>369</v>
      </c>
      <c r="G149" t="s">
        <v>370</v>
      </c>
      <c r="H149" s="2">
        <v>9000000055</v>
      </c>
      <c r="I149" t="s">
        <v>18</v>
      </c>
      <c r="J149" t="s">
        <v>49</v>
      </c>
      <c r="K149" t="s">
        <v>20</v>
      </c>
      <c r="L149" t="s">
        <v>78</v>
      </c>
      <c r="M149" t="s">
        <v>79</v>
      </c>
      <c r="N149" t="s">
        <v>80</v>
      </c>
      <c r="O149" t="s">
        <v>24</v>
      </c>
      <c r="P149" t="s">
        <v>36</v>
      </c>
      <c r="Q149" t="s">
        <v>53</v>
      </c>
      <c r="R149" t="s">
        <v>114</v>
      </c>
      <c r="S149">
        <f>IF(enquiry_analysis_data[[#This Row],[enquiry_status]]="Converted",1,0)</f>
        <v>0</v>
      </c>
      <c r="T149" t="s">
        <v>28</v>
      </c>
    </row>
    <row r="150" spans="1:20" x14ac:dyDescent="0.3">
      <c r="A150">
        <v>255</v>
      </c>
      <c r="B150" s="1">
        <v>45848.32372685185</v>
      </c>
      <c r="C150" s="1" t="str">
        <f>TEXT(enquiry_analysis_data[[#This Row],[enquiry_date]],"mmmm-yyyy")</f>
        <v>July-2025</v>
      </c>
      <c r="D150">
        <f>YEAR(enquiry_analysis_data[[#This Row],[enquiry_date]])</f>
        <v>2025</v>
      </c>
      <c r="E150">
        <f>MONTH(enquiry_analysis_data[[#This Row],[enquiry_date]])</f>
        <v>7</v>
      </c>
      <c r="F150" t="s">
        <v>371</v>
      </c>
      <c r="G150" t="s">
        <v>372</v>
      </c>
      <c r="H150" s="2">
        <v>9000000252</v>
      </c>
      <c r="I150" t="s">
        <v>31</v>
      </c>
      <c r="J150" t="s">
        <v>19</v>
      </c>
      <c r="K150" t="s">
        <v>67</v>
      </c>
      <c r="L150" t="s">
        <v>21</v>
      </c>
      <c r="M150" t="s">
        <v>22</v>
      </c>
      <c r="N150" t="s">
        <v>23</v>
      </c>
      <c r="O150" t="s">
        <v>42</v>
      </c>
      <c r="P150" t="s">
        <v>36</v>
      </c>
      <c r="Q150" t="s">
        <v>53</v>
      </c>
      <c r="R150" t="s">
        <v>68</v>
      </c>
      <c r="S150">
        <f>IF(enquiry_analysis_data[[#This Row],[enquiry_status]]="Converted",1,0)</f>
        <v>1</v>
      </c>
      <c r="T150" t="s">
        <v>28</v>
      </c>
    </row>
    <row r="151" spans="1:20" x14ac:dyDescent="0.3">
      <c r="A151">
        <v>201</v>
      </c>
      <c r="B151" s="1">
        <v>45849.798194444447</v>
      </c>
      <c r="C151" s="1" t="str">
        <f>TEXT(enquiry_analysis_data[[#This Row],[enquiry_date]],"mmmm-yyyy")</f>
        <v>July-2025</v>
      </c>
      <c r="D151">
        <f>YEAR(enquiry_analysis_data[[#This Row],[enquiry_date]])</f>
        <v>2025</v>
      </c>
      <c r="E151">
        <f>MONTH(enquiry_analysis_data[[#This Row],[enquiry_date]])</f>
        <v>7</v>
      </c>
      <c r="F151" t="s">
        <v>373</v>
      </c>
      <c r="G151" t="s">
        <v>374</v>
      </c>
      <c r="H151" s="2">
        <v>9000000198</v>
      </c>
      <c r="I151" t="s">
        <v>88</v>
      </c>
      <c r="J151" t="s">
        <v>49</v>
      </c>
      <c r="K151" t="s">
        <v>33</v>
      </c>
      <c r="L151" t="s">
        <v>144</v>
      </c>
      <c r="M151" t="s">
        <v>145</v>
      </c>
      <c r="N151" t="s">
        <v>101</v>
      </c>
      <c r="O151" t="s">
        <v>42</v>
      </c>
      <c r="P151" t="s">
        <v>43</v>
      </c>
      <c r="Q151" t="s">
        <v>141</v>
      </c>
      <c r="R151" t="s">
        <v>27</v>
      </c>
      <c r="S151">
        <f>IF(enquiry_analysis_data[[#This Row],[enquiry_status]]="Converted",1,0)</f>
        <v>0</v>
      </c>
      <c r="T151" t="s">
        <v>28</v>
      </c>
    </row>
    <row r="152" spans="1:20" x14ac:dyDescent="0.3">
      <c r="A152">
        <v>233</v>
      </c>
      <c r="B152" s="1">
        <v>45850.656446759262</v>
      </c>
      <c r="C152" s="1" t="str">
        <f>TEXT(enquiry_analysis_data[[#This Row],[enquiry_date]],"mmmm-yyyy")</f>
        <v>July-2025</v>
      </c>
      <c r="D152">
        <f>YEAR(enquiry_analysis_data[[#This Row],[enquiry_date]])</f>
        <v>2025</v>
      </c>
      <c r="E152">
        <f>MONTH(enquiry_analysis_data[[#This Row],[enquiry_date]])</f>
        <v>7</v>
      </c>
      <c r="F152" t="s">
        <v>375</v>
      </c>
      <c r="G152" t="s">
        <v>376</v>
      </c>
      <c r="H152" s="2">
        <v>9000000230</v>
      </c>
      <c r="I152" t="s">
        <v>71</v>
      </c>
      <c r="J152" t="s">
        <v>128</v>
      </c>
      <c r="K152" t="s">
        <v>20</v>
      </c>
      <c r="L152" t="s">
        <v>136</v>
      </c>
      <c r="M152" t="s">
        <v>137</v>
      </c>
      <c r="N152" t="s">
        <v>62</v>
      </c>
      <c r="O152" t="s">
        <v>42</v>
      </c>
      <c r="P152" t="s">
        <v>43</v>
      </c>
      <c r="Q152" t="s">
        <v>26</v>
      </c>
      <c r="R152" t="s">
        <v>68</v>
      </c>
      <c r="S152">
        <f>IF(enquiry_analysis_data[[#This Row],[enquiry_status]]="Converted",1,0)</f>
        <v>1</v>
      </c>
      <c r="T152" t="s">
        <v>28</v>
      </c>
    </row>
    <row r="153" spans="1:20" x14ac:dyDescent="0.3">
      <c r="A153">
        <v>244</v>
      </c>
      <c r="B153" s="1">
        <v>45851.132025462961</v>
      </c>
      <c r="C153" s="1" t="str">
        <f>TEXT(enquiry_analysis_data[[#This Row],[enquiry_date]],"mmmm-yyyy")</f>
        <v>July-2025</v>
      </c>
      <c r="D153">
        <f>YEAR(enquiry_analysis_data[[#This Row],[enquiry_date]])</f>
        <v>2025</v>
      </c>
      <c r="E153">
        <f>MONTH(enquiry_analysis_data[[#This Row],[enquiry_date]])</f>
        <v>7</v>
      </c>
      <c r="F153" t="s">
        <v>375</v>
      </c>
      <c r="G153" t="s">
        <v>377</v>
      </c>
      <c r="H153" s="2">
        <v>9000000241</v>
      </c>
      <c r="I153" t="s">
        <v>18</v>
      </c>
      <c r="J153" t="s">
        <v>128</v>
      </c>
      <c r="K153" t="s">
        <v>20</v>
      </c>
      <c r="L153" t="s">
        <v>50</v>
      </c>
      <c r="M153" t="s">
        <v>51</v>
      </c>
      <c r="N153" t="s">
        <v>23</v>
      </c>
      <c r="O153" t="s">
        <v>42</v>
      </c>
      <c r="P153" t="s">
        <v>52</v>
      </c>
      <c r="Q153" t="s">
        <v>63</v>
      </c>
      <c r="R153" t="s">
        <v>68</v>
      </c>
      <c r="S153">
        <f>IF(enquiry_analysis_data[[#This Row],[enquiry_status]]="Converted",1,0)</f>
        <v>1</v>
      </c>
      <c r="T153" t="s">
        <v>28</v>
      </c>
    </row>
    <row r="154" spans="1:20" x14ac:dyDescent="0.3">
      <c r="A154">
        <v>285</v>
      </c>
      <c r="B154" s="1">
        <v>45857.727106481485</v>
      </c>
      <c r="C154" s="1" t="str">
        <f>TEXT(enquiry_analysis_data[[#This Row],[enquiry_date]],"mmmm-yyyy")</f>
        <v>July-2025</v>
      </c>
      <c r="D154">
        <f>YEAR(enquiry_analysis_data[[#This Row],[enquiry_date]])</f>
        <v>2025</v>
      </c>
      <c r="E154">
        <f>MONTH(enquiry_analysis_data[[#This Row],[enquiry_date]])</f>
        <v>7</v>
      </c>
      <c r="F154" t="s">
        <v>378</v>
      </c>
      <c r="G154" t="s">
        <v>379</v>
      </c>
      <c r="H154" s="2">
        <v>9000000282</v>
      </c>
      <c r="I154" t="s">
        <v>88</v>
      </c>
      <c r="J154" t="s">
        <v>19</v>
      </c>
      <c r="K154" t="s">
        <v>33</v>
      </c>
      <c r="L154" t="s">
        <v>136</v>
      </c>
      <c r="M154" t="s">
        <v>137</v>
      </c>
      <c r="N154" t="s">
        <v>62</v>
      </c>
      <c r="O154" t="s">
        <v>24</v>
      </c>
      <c r="P154" t="s">
        <v>43</v>
      </c>
      <c r="Q154" t="s">
        <v>26</v>
      </c>
      <c r="R154" t="s">
        <v>27</v>
      </c>
      <c r="S154">
        <f>IF(enquiry_analysis_data[[#This Row],[enquiry_status]]="Converted",1,0)</f>
        <v>0</v>
      </c>
      <c r="T154" t="s">
        <v>28</v>
      </c>
    </row>
    <row r="155" spans="1:20" x14ac:dyDescent="0.3">
      <c r="A155">
        <v>474</v>
      </c>
      <c r="B155" s="1">
        <v>45858.520474537036</v>
      </c>
      <c r="C155" s="1" t="str">
        <f>TEXT(enquiry_analysis_data[[#This Row],[enquiry_date]],"mmmm-yyyy")</f>
        <v>July-2025</v>
      </c>
      <c r="D155">
        <f>YEAR(enquiry_analysis_data[[#This Row],[enquiry_date]])</f>
        <v>2025</v>
      </c>
      <c r="E155">
        <f>MONTH(enquiry_analysis_data[[#This Row],[enquiry_date]])</f>
        <v>7</v>
      </c>
      <c r="F155" t="s">
        <v>380</v>
      </c>
      <c r="G155" t="s">
        <v>381</v>
      </c>
      <c r="H155" s="2">
        <v>9000000471</v>
      </c>
      <c r="I155" t="s">
        <v>71</v>
      </c>
      <c r="J155" t="s">
        <v>32</v>
      </c>
      <c r="K155" t="s">
        <v>67</v>
      </c>
      <c r="L155" t="s">
        <v>99</v>
      </c>
      <c r="M155" t="s">
        <v>100</v>
      </c>
      <c r="N155" t="s">
        <v>101</v>
      </c>
      <c r="O155" t="s">
        <v>42</v>
      </c>
      <c r="P155" t="s">
        <v>25</v>
      </c>
      <c r="Q155" t="s">
        <v>53</v>
      </c>
      <c r="R155" t="s">
        <v>68</v>
      </c>
      <c r="S155">
        <f>IF(enquiry_analysis_data[[#This Row],[enquiry_status]]="Converted",1,0)</f>
        <v>1</v>
      </c>
      <c r="T155" t="s">
        <v>28</v>
      </c>
    </row>
    <row r="156" spans="1:20" x14ac:dyDescent="0.3">
      <c r="A156">
        <v>469</v>
      </c>
      <c r="B156" s="1">
        <v>45859.280601851853</v>
      </c>
      <c r="C156" s="1" t="str">
        <f>TEXT(enquiry_analysis_data[[#This Row],[enquiry_date]],"mmmm-yyyy")</f>
        <v>July-2025</v>
      </c>
      <c r="D156">
        <f>YEAR(enquiry_analysis_data[[#This Row],[enquiry_date]])</f>
        <v>2025</v>
      </c>
      <c r="E156">
        <f>MONTH(enquiry_analysis_data[[#This Row],[enquiry_date]])</f>
        <v>7</v>
      </c>
      <c r="F156" t="s">
        <v>378</v>
      </c>
      <c r="G156" t="s">
        <v>382</v>
      </c>
      <c r="H156" s="2">
        <v>9000000466</v>
      </c>
      <c r="I156" t="s">
        <v>18</v>
      </c>
      <c r="J156" t="s">
        <v>19</v>
      </c>
      <c r="K156" t="s">
        <v>33</v>
      </c>
      <c r="L156" t="s">
        <v>144</v>
      </c>
      <c r="M156" t="s">
        <v>145</v>
      </c>
      <c r="N156" t="s">
        <v>101</v>
      </c>
      <c r="O156" t="s">
        <v>42</v>
      </c>
      <c r="P156" t="s">
        <v>52</v>
      </c>
      <c r="Q156" t="s">
        <v>26</v>
      </c>
      <c r="R156" t="s">
        <v>68</v>
      </c>
      <c r="S156">
        <f>IF(enquiry_analysis_data[[#This Row],[enquiry_status]]="Converted",1,0)</f>
        <v>1</v>
      </c>
      <c r="T156" t="s">
        <v>28</v>
      </c>
    </row>
    <row r="157" spans="1:20" x14ac:dyDescent="0.3">
      <c r="A157">
        <v>252</v>
      </c>
      <c r="B157" s="1">
        <v>45859.738067129627</v>
      </c>
      <c r="C157" s="1" t="str">
        <f>TEXT(enquiry_analysis_data[[#This Row],[enquiry_date]],"mmmm-yyyy")</f>
        <v>July-2025</v>
      </c>
      <c r="D157">
        <f>YEAR(enquiry_analysis_data[[#This Row],[enquiry_date]])</f>
        <v>2025</v>
      </c>
      <c r="E157">
        <f>MONTH(enquiry_analysis_data[[#This Row],[enquiry_date]])</f>
        <v>7</v>
      </c>
      <c r="F157" t="s">
        <v>383</v>
      </c>
      <c r="G157" t="s">
        <v>384</v>
      </c>
      <c r="H157" s="2">
        <v>9000000249</v>
      </c>
      <c r="I157" t="s">
        <v>93</v>
      </c>
      <c r="J157" t="s">
        <v>19</v>
      </c>
      <c r="K157" t="s">
        <v>67</v>
      </c>
      <c r="L157" t="s">
        <v>117</v>
      </c>
      <c r="M157" t="s">
        <v>118</v>
      </c>
      <c r="N157" t="s">
        <v>119</v>
      </c>
      <c r="O157" t="s">
        <v>42</v>
      </c>
      <c r="P157" t="s">
        <v>52</v>
      </c>
      <c r="Q157" t="s">
        <v>141</v>
      </c>
      <c r="R157" t="s">
        <v>45</v>
      </c>
      <c r="S157">
        <f>IF(enquiry_analysis_data[[#This Row],[enquiry_status]]="Converted",1,0)</f>
        <v>0</v>
      </c>
      <c r="T157" t="s">
        <v>28</v>
      </c>
    </row>
    <row r="158" spans="1:20" x14ac:dyDescent="0.3">
      <c r="A158">
        <v>186</v>
      </c>
      <c r="B158" s="1">
        <v>45861.535914351851</v>
      </c>
      <c r="C158" s="1" t="str">
        <f>TEXT(enquiry_analysis_data[[#This Row],[enquiry_date]],"mmmm-yyyy")</f>
        <v>July-2025</v>
      </c>
      <c r="D158">
        <f>YEAR(enquiry_analysis_data[[#This Row],[enquiry_date]])</f>
        <v>2025</v>
      </c>
      <c r="E158">
        <f>MONTH(enquiry_analysis_data[[#This Row],[enquiry_date]])</f>
        <v>7</v>
      </c>
      <c r="F158" t="s">
        <v>385</v>
      </c>
      <c r="G158" t="s">
        <v>386</v>
      </c>
      <c r="H158" s="2">
        <v>9000000183</v>
      </c>
      <c r="I158" t="s">
        <v>77</v>
      </c>
      <c r="J158" t="s">
        <v>19</v>
      </c>
      <c r="K158" t="s">
        <v>33</v>
      </c>
      <c r="L158" t="s">
        <v>60</v>
      </c>
      <c r="M158" t="s">
        <v>61</v>
      </c>
      <c r="N158" t="s">
        <v>62</v>
      </c>
      <c r="O158" t="s">
        <v>42</v>
      </c>
      <c r="P158" t="s">
        <v>43</v>
      </c>
      <c r="Q158" t="s">
        <v>53</v>
      </c>
      <c r="R158" t="s">
        <v>56</v>
      </c>
      <c r="S158">
        <f>IF(enquiry_analysis_data[[#This Row],[enquiry_status]]="Converted",1,0)</f>
        <v>0</v>
      </c>
      <c r="T158" t="s">
        <v>28</v>
      </c>
    </row>
    <row r="159" spans="1:20" x14ac:dyDescent="0.3">
      <c r="A159">
        <v>129</v>
      </c>
      <c r="B159" s="1">
        <v>45861.702951388892</v>
      </c>
      <c r="C159" s="1" t="str">
        <f>TEXT(enquiry_analysis_data[[#This Row],[enquiry_date]],"mmmm-yyyy")</f>
        <v>July-2025</v>
      </c>
      <c r="D159">
        <f>YEAR(enquiry_analysis_data[[#This Row],[enquiry_date]])</f>
        <v>2025</v>
      </c>
      <c r="E159">
        <f>MONTH(enquiry_analysis_data[[#This Row],[enquiry_date]])</f>
        <v>7</v>
      </c>
      <c r="F159" t="s">
        <v>387</v>
      </c>
      <c r="G159" t="s">
        <v>388</v>
      </c>
      <c r="H159" s="2">
        <v>9000000126</v>
      </c>
      <c r="I159" t="s">
        <v>48</v>
      </c>
      <c r="J159" t="s">
        <v>32</v>
      </c>
      <c r="K159" t="s">
        <v>94</v>
      </c>
      <c r="L159" t="s">
        <v>50</v>
      </c>
      <c r="M159" t="s">
        <v>51</v>
      </c>
      <c r="N159" t="s">
        <v>23</v>
      </c>
      <c r="O159" t="s">
        <v>24</v>
      </c>
      <c r="P159" t="s">
        <v>25</v>
      </c>
      <c r="Q159" t="s">
        <v>141</v>
      </c>
      <c r="R159" t="s">
        <v>68</v>
      </c>
      <c r="S159">
        <f>IF(enquiry_analysis_data[[#This Row],[enquiry_status]]="Converted",1,0)</f>
        <v>1</v>
      </c>
      <c r="T159" t="s">
        <v>28</v>
      </c>
    </row>
    <row r="160" spans="1:20" x14ac:dyDescent="0.3">
      <c r="A160">
        <v>229</v>
      </c>
      <c r="B160" s="1">
        <v>45862.509618055556</v>
      </c>
      <c r="C160" s="1" t="str">
        <f>TEXT(enquiry_analysis_data[[#This Row],[enquiry_date]],"mmmm-yyyy")</f>
        <v>July-2025</v>
      </c>
      <c r="D160">
        <f>YEAR(enquiry_analysis_data[[#This Row],[enquiry_date]])</f>
        <v>2025</v>
      </c>
      <c r="E160">
        <f>MONTH(enquiry_analysis_data[[#This Row],[enquiry_date]])</f>
        <v>7</v>
      </c>
      <c r="F160" t="s">
        <v>389</v>
      </c>
      <c r="G160" t="s">
        <v>390</v>
      </c>
      <c r="H160" s="2">
        <v>9000000226</v>
      </c>
      <c r="I160" t="s">
        <v>77</v>
      </c>
      <c r="J160" t="s">
        <v>32</v>
      </c>
      <c r="K160" t="s">
        <v>94</v>
      </c>
      <c r="L160" t="s">
        <v>245</v>
      </c>
      <c r="M160" t="s">
        <v>246</v>
      </c>
      <c r="N160" t="s">
        <v>156</v>
      </c>
      <c r="O160" t="s">
        <v>24</v>
      </c>
      <c r="P160" t="s">
        <v>43</v>
      </c>
      <c r="Q160" t="s">
        <v>63</v>
      </c>
      <c r="R160" t="s">
        <v>194</v>
      </c>
      <c r="S160">
        <f>IF(enquiry_analysis_data[[#This Row],[enquiry_status]]="Converted",1,0)</f>
        <v>0</v>
      </c>
      <c r="T160" t="s">
        <v>28</v>
      </c>
    </row>
    <row r="161" spans="1:20" x14ac:dyDescent="0.3">
      <c r="A161">
        <v>331</v>
      </c>
      <c r="B161" s="1">
        <v>45863.526967592596</v>
      </c>
      <c r="C161" s="1" t="str">
        <f>TEXT(enquiry_analysis_data[[#This Row],[enquiry_date]],"mmmm-yyyy")</f>
        <v>July-2025</v>
      </c>
      <c r="D161">
        <f>YEAR(enquiry_analysis_data[[#This Row],[enquiry_date]])</f>
        <v>2025</v>
      </c>
      <c r="E161">
        <f>MONTH(enquiry_analysis_data[[#This Row],[enquiry_date]])</f>
        <v>7</v>
      </c>
      <c r="F161" t="s">
        <v>391</v>
      </c>
      <c r="G161" t="s">
        <v>392</v>
      </c>
      <c r="H161" s="2">
        <v>9000000328</v>
      </c>
      <c r="I161" t="s">
        <v>123</v>
      </c>
      <c r="J161" t="s">
        <v>49</v>
      </c>
      <c r="K161" t="s">
        <v>20</v>
      </c>
      <c r="L161" t="s">
        <v>60</v>
      </c>
      <c r="M161" t="s">
        <v>61</v>
      </c>
      <c r="N161" t="s">
        <v>62</v>
      </c>
      <c r="O161" t="s">
        <v>24</v>
      </c>
      <c r="P161" t="s">
        <v>52</v>
      </c>
      <c r="Q161" t="s">
        <v>63</v>
      </c>
      <c r="R161" t="s">
        <v>68</v>
      </c>
      <c r="S161">
        <f>IF(enquiry_analysis_data[[#This Row],[enquiry_status]]="Converted",1,0)</f>
        <v>1</v>
      </c>
      <c r="T161" t="s">
        <v>28</v>
      </c>
    </row>
    <row r="162" spans="1:20" x14ac:dyDescent="0.3">
      <c r="A162">
        <v>67</v>
      </c>
      <c r="B162" s="1">
        <v>45863.786041666666</v>
      </c>
      <c r="C162" s="1" t="str">
        <f>TEXT(enquiry_analysis_data[[#This Row],[enquiry_date]],"mmmm-yyyy")</f>
        <v>July-2025</v>
      </c>
      <c r="D162">
        <f>YEAR(enquiry_analysis_data[[#This Row],[enquiry_date]])</f>
        <v>2025</v>
      </c>
      <c r="E162">
        <f>MONTH(enquiry_analysis_data[[#This Row],[enquiry_date]])</f>
        <v>7</v>
      </c>
      <c r="F162" t="s">
        <v>393</v>
      </c>
      <c r="G162" t="s">
        <v>394</v>
      </c>
      <c r="H162" s="2">
        <v>9000000064</v>
      </c>
      <c r="I162" t="s">
        <v>18</v>
      </c>
      <c r="J162" t="s">
        <v>128</v>
      </c>
      <c r="K162" t="s">
        <v>67</v>
      </c>
      <c r="L162" t="s">
        <v>21</v>
      </c>
      <c r="M162" t="s">
        <v>22</v>
      </c>
      <c r="N162" t="s">
        <v>23</v>
      </c>
      <c r="O162" t="s">
        <v>42</v>
      </c>
      <c r="P162" t="s">
        <v>25</v>
      </c>
      <c r="Q162" t="s">
        <v>138</v>
      </c>
      <c r="R162" t="s">
        <v>45</v>
      </c>
      <c r="S162">
        <f>IF(enquiry_analysis_data[[#This Row],[enquiry_status]]="Converted",1,0)</f>
        <v>0</v>
      </c>
      <c r="T162" t="s">
        <v>28</v>
      </c>
    </row>
    <row r="163" spans="1:20" x14ac:dyDescent="0.3">
      <c r="A163">
        <v>301</v>
      </c>
      <c r="B163" s="1">
        <v>45866.990624999999</v>
      </c>
      <c r="C163" s="1" t="str">
        <f>TEXT(enquiry_analysis_data[[#This Row],[enquiry_date]],"mmmm-yyyy")</f>
        <v>July-2025</v>
      </c>
      <c r="D163">
        <f>YEAR(enquiry_analysis_data[[#This Row],[enquiry_date]])</f>
        <v>2025</v>
      </c>
      <c r="E163">
        <f>MONTH(enquiry_analysis_data[[#This Row],[enquiry_date]])</f>
        <v>7</v>
      </c>
      <c r="F163" t="s">
        <v>344</v>
      </c>
      <c r="G163" t="s">
        <v>395</v>
      </c>
      <c r="H163" s="2">
        <v>9000000298</v>
      </c>
      <c r="I163" t="s">
        <v>77</v>
      </c>
      <c r="J163" t="s">
        <v>128</v>
      </c>
      <c r="K163" t="s">
        <v>67</v>
      </c>
      <c r="L163" t="s">
        <v>111</v>
      </c>
      <c r="M163" t="s">
        <v>112</v>
      </c>
      <c r="N163" t="s">
        <v>113</v>
      </c>
      <c r="O163" t="s">
        <v>42</v>
      </c>
      <c r="P163" t="s">
        <v>25</v>
      </c>
      <c r="Q163" t="s">
        <v>26</v>
      </c>
      <c r="R163" t="s">
        <v>68</v>
      </c>
      <c r="S163">
        <f>IF(enquiry_analysis_data[[#This Row],[enquiry_status]]="Converted",1,0)</f>
        <v>1</v>
      </c>
      <c r="T163" t="s">
        <v>28</v>
      </c>
    </row>
    <row r="164" spans="1:20" x14ac:dyDescent="0.3">
      <c r="A164">
        <v>27</v>
      </c>
      <c r="B164" s="1">
        <v>45868.154189814813</v>
      </c>
      <c r="C164" s="1" t="str">
        <f>TEXT(enquiry_analysis_data[[#This Row],[enquiry_date]],"mmmm-yyyy")</f>
        <v>July-2025</v>
      </c>
      <c r="D164">
        <f>YEAR(enquiry_analysis_data[[#This Row],[enquiry_date]])</f>
        <v>2025</v>
      </c>
      <c r="E164">
        <f>MONTH(enquiry_analysis_data[[#This Row],[enquiry_date]])</f>
        <v>7</v>
      </c>
      <c r="F164" t="s">
        <v>396</v>
      </c>
      <c r="G164" t="s">
        <v>397</v>
      </c>
      <c r="H164" s="2">
        <v>9000000024</v>
      </c>
      <c r="I164" t="s">
        <v>59</v>
      </c>
      <c r="J164" t="s">
        <v>32</v>
      </c>
      <c r="K164" t="s">
        <v>33</v>
      </c>
      <c r="L164" t="s">
        <v>99</v>
      </c>
      <c r="M164" t="s">
        <v>100</v>
      </c>
      <c r="N164" t="s">
        <v>101</v>
      </c>
      <c r="O164" t="s">
        <v>42</v>
      </c>
      <c r="P164" t="s">
        <v>43</v>
      </c>
      <c r="Q164" t="s">
        <v>26</v>
      </c>
      <c r="R164" t="s">
        <v>68</v>
      </c>
      <c r="S164">
        <f>IF(enquiry_analysis_data[[#This Row],[enquiry_status]]="Converted",1,0)</f>
        <v>1</v>
      </c>
      <c r="T164" t="s">
        <v>28</v>
      </c>
    </row>
    <row r="165" spans="1:20" x14ac:dyDescent="0.3">
      <c r="A165">
        <v>319</v>
      </c>
      <c r="B165" s="1">
        <v>45870.830370370371</v>
      </c>
      <c r="C165" s="1" t="str">
        <f>TEXT(enquiry_analysis_data[[#This Row],[enquiry_date]],"mmmm-yyyy")</f>
        <v>August-2025</v>
      </c>
      <c r="D165">
        <f>YEAR(enquiry_analysis_data[[#This Row],[enquiry_date]])</f>
        <v>2025</v>
      </c>
      <c r="E165">
        <f>MONTH(enquiry_analysis_data[[#This Row],[enquiry_date]])</f>
        <v>8</v>
      </c>
      <c r="F165" t="s">
        <v>398</v>
      </c>
      <c r="G165" t="s">
        <v>399</v>
      </c>
      <c r="H165" s="2">
        <v>9000000316</v>
      </c>
      <c r="I165" t="s">
        <v>66</v>
      </c>
      <c r="J165" t="s">
        <v>49</v>
      </c>
      <c r="K165" t="s">
        <v>105</v>
      </c>
      <c r="L165" t="s">
        <v>245</v>
      </c>
      <c r="M165" t="s">
        <v>246</v>
      </c>
      <c r="N165" t="s">
        <v>156</v>
      </c>
      <c r="O165" t="s">
        <v>24</v>
      </c>
      <c r="P165" t="s">
        <v>36</v>
      </c>
      <c r="Q165" t="s">
        <v>83</v>
      </c>
      <c r="R165" t="s">
        <v>68</v>
      </c>
      <c r="S165">
        <f>IF(enquiry_analysis_data[[#This Row],[enquiry_status]]="Converted",1,0)</f>
        <v>1</v>
      </c>
      <c r="T165" t="s">
        <v>28</v>
      </c>
    </row>
    <row r="166" spans="1:20" x14ac:dyDescent="0.3">
      <c r="A166">
        <v>238</v>
      </c>
      <c r="B166" s="1">
        <v>45871.212199074071</v>
      </c>
      <c r="C166" s="1" t="str">
        <f>TEXT(enquiry_analysis_data[[#This Row],[enquiry_date]],"mmmm-yyyy")</f>
        <v>August-2025</v>
      </c>
      <c r="D166">
        <f>YEAR(enquiry_analysis_data[[#This Row],[enquiry_date]])</f>
        <v>2025</v>
      </c>
      <c r="E166">
        <f>MONTH(enquiry_analysis_data[[#This Row],[enquiry_date]])</f>
        <v>8</v>
      </c>
      <c r="F166" t="s">
        <v>400</v>
      </c>
      <c r="G166" t="s">
        <v>401</v>
      </c>
      <c r="H166" s="2">
        <v>9000000235</v>
      </c>
      <c r="I166" t="s">
        <v>88</v>
      </c>
      <c r="J166" t="s">
        <v>32</v>
      </c>
      <c r="K166" t="s">
        <v>67</v>
      </c>
      <c r="L166" t="s">
        <v>111</v>
      </c>
      <c r="M166" t="s">
        <v>112</v>
      </c>
      <c r="N166" t="s">
        <v>113</v>
      </c>
      <c r="O166" t="s">
        <v>42</v>
      </c>
      <c r="P166" t="s">
        <v>52</v>
      </c>
      <c r="Q166" t="s">
        <v>26</v>
      </c>
      <c r="R166" t="s">
        <v>27</v>
      </c>
      <c r="S166">
        <f>IF(enquiry_analysis_data[[#This Row],[enquiry_status]]="Converted",1,0)</f>
        <v>0</v>
      </c>
      <c r="T166" t="s">
        <v>28</v>
      </c>
    </row>
    <row r="167" spans="1:20" x14ac:dyDescent="0.3">
      <c r="A167">
        <v>271</v>
      </c>
      <c r="B167" s="1">
        <v>45871.959652777776</v>
      </c>
      <c r="C167" s="1" t="str">
        <f>TEXT(enquiry_analysis_data[[#This Row],[enquiry_date]],"mmmm-yyyy")</f>
        <v>August-2025</v>
      </c>
      <c r="D167">
        <f>YEAR(enquiry_analysis_data[[#This Row],[enquiry_date]])</f>
        <v>2025</v>
      </c>
      <c r="E167">
        <f>MONTH(enquiry_analysis_data[[#This Row],[enquiry_date]])</f>
        <v>8</v>
      </c>
      <c r="F167" t="s">
        <v>402</v>
      </c>
      <c r="G167" t="s">
        <v>403</v>
      </c>
      <c r="H167" s="2">
        <v>9000000268</v>
      </c>
      <c r="I167" t="s">
        <v>48</v>
      </c>
      <c r="J167" t="s">
        <v>49</v>
      </c>
      <c r="K167" t="s">
        <v>20</v>
      </c>
      <c r="L167" t="s">
        <v>78</v>
      </c>
      <c r="M167" t="s">
        <v>79</v>
      </c>
      <c r="N167" t="s">
        <v>80</v>
      </c>
      <c r="O167" t="s">
        <v>24</v>
      </c>
      <c r="P167" t="s">
        <v>52</v>
      </c>
      <c r="Q167" t="s">
        <v>138</v>
      </c>
      <c r="R167" t="s">
        <v>68</v>
      </c>
      <c r="S167">
        <f>IF(enquiry_analysis_data[[#This Row],[enquiry_status]]="Converted",1,0)</f>
        <v>1</v>
      </c>
      <c r="T167" t="s">
        <v>28</v>
      </c>
    </row>
    <row r="168" spans="1:20" x14ac:dyDescent="0.3">
      <c r="A168">
        <v>445</v>
      </c>
      <c r="B168" s="1">
        <v>45872.225821759261</v>
      </c>
      <c r="C168" s="1" t="str">
        <f>TEXT(enquiry_analysis_data[[#This Row],[enquiry_date]],"mmmm-yyyy")</f>
        <v>August-2025</v>
      </c>
      <c r="D168">
        <f>YEAR(enquiry_analysis_data[[#This Row],[enquiry_date]])</f>
        <v>2025</v>
      </c>
      <c r="E168">
        <f>MONTH(enquiry_analysis_data[[#This Row],[enquiry_date]])</f>
        <v>8</v>
      </c>
      <c r="F168" t="s">
        <v>404</v>
      </c>
      <c r="G168" t="s">
        <v>405</v>
      </c>
      <c r="H168" s="2">
        <v>9000000442</v>
      </c>
      <c r="I168" t="s">
        <v>59</v>
      </c>
      <c r="J168" t="s">
        <v>19</v>
      </c>
      <c r="K168" t="s">
        <v>20</v>
      </c>
      <c r="L168" t="s">
        <v>245</v>
      </c>
      <c r="M168" t="s">
        <v>246</v>
      </c>
      <c r="N168" t="s">
        <v>156</v>
      </c>
      <c r="O168" t="s">
        <v>24</v>
      </c>
      <c r="P168" t="s">
        <v>52</v>
      </c>
      <c r="Q168" t="s">
        <v>44</v>
      </c>
      <c r="R168" t="s">
        <v>45</v>
      </c>
      <c r="S168">
        <f>IF(enquiry_analysis_data[[#This Row],[enquiry_status]]="Converted",1,0)</f>
        <v>0</v>
      </c>
      <c r="T168" t="s">
        <v>28</v>
      </c>
    </row>
    <row r="169" spans="1:20" x14ac:dyDescent="0.3">
      <c r="A169">
        <v>44</v>
      </c>
      <c r="B169" s="1">
        <v>45874.42559027778</v>
      </c>
      <c r="C169" s="1" t="str">
        <f>TEXT(enquiry_analysis_data[[#This Row],[enquiry_date]],"mmmm-yyyy")</f>
        <v>August-2025</v>
      </c>
      <c r="D169">
        <f>YEAR(enquiry_analysis_data[[#This Row],[enquiry_date]])</f>
        <v>2025</v>
      </c>
      <c r="E169">
        <f>MONTH(enquiry_analysis_data[[#This Row],[enquiry_date]])</f>
        <v>8</v>
      </c>
      <c r="F169" t="s">
        <v>406</v>
      </c>
      <c r="G169" t="s">
        <v>407</v>
      </c>
      <c r="H169" s="2">
        <v>9000000041</v>
      </c>
      <c r="I169" t="s">
        <v>93</v>
      </c>
      <c r="J169" t="s">
        <v>32</v>
      </c>
      <c r="K169" t="s">
        <v>33</v>
      </c>
      <c r="L169" t="s">
        <v>111</v>
      </c>
      <c r="M169" t="s">
        <v>112</v>
      </c>
      <c r="N169" t="s">
        <v>113</v>
      </c>
      <c r="O169" t="s">
        <v>42</v>
      </c>
      <c r="P169" t="s">
        <v>43</v>
      </c>
      <c r="Q169" t="s">
        <v>37</v>
      </c>
      <c r="R169" t="s">
        <v>68</v>
      </c>
      <c r="S169">
        <f>IF(enquiry_analysis_data[[#This Row],[enquiry_status]]="Converted",1,0)</f>
        <v>1</v>
      </c>
      <c r="T169" t="s">
        <v>28</v>
      </c>
    </row>
    <row r="170" spans="1:20" x14ac:dyDescent="0.3">
      <c r="A170">
        <v>40</v>
      </c>
      <c r="B170" s="1">
        <v>45877.968842592592</v>
      </c>
      <c r="C170" s="1" t="str">
        <f>TEXT(enquiry_analysis_data[[#This Row],[enquiry_date]],"mmmm-yyyy")</f>
        <v>August-2025</v>
      </c>
      <c r="D170">
        <f>YEAR(enquiry_analysis_data[[#This Row],[enquiry_date]])</f>
        <v>2025</v>
      </c>
      <c r="E170">
        <f>MONTH(enquiry_analysis_data[[#This Row],[enquiry_date]])</f>
        <v>8</v>
      </c>
      <c r="F170" t="s">
        <v>207</v>
      </c>
      <c r="G170" t="s">
        <v>408</v>
      </c>
      <c r="H170" s="2">
        <v>9000000037</v>
      </c>
      <c r="I170" t="s">
        <v>123</v>
      </c>
      <c r="J170" t="s">
        <v>49</v>
      </c>
      <c r="K170" t="s">
        <v>20</v>
      </c>
      <c r="L170" t="s">
        <v>117</v>
      </c>
      <c r="M170" t="s">
        <v>118</v>
      </c>
      <c r="N170" t="s">
        <v>119</v>
      </c>
      <c r="O170" t="s">
        <v>42</v>
      </c>
      <c r="P170" t="s">
        <v>25</v>
      </c>
      <c r="Q170" t="s">
        <v>141</v>
      </c>
      <c r="R170" t="s">
        <v>68</v>
      </c>
      <c r="S170">
        <f>IF(enquiry_analysis_data[[#This Row],[enquiry_status]]="Converted",1,0)</f>
        <v>1</v>
      </c>
      <c r="T170" t="s">
        <v>28</v>
      </c>
    </row>
    <row r="171" spans="1:20" x14ac:dyDescent="0.3">
      <c r="A171">
        <v>388</v>
      </c>
      <c r="B171" s="1">
        <v>45878.540706018517</v>
      </c>
      <c r="C171" s="1" t="str">
        <f>TEXT(enquiry_analysis_data[[#This Row],[enquiry_date]],"mmmm-yyyy")</f>
        <v>August-2025</v>
      </c>
      <c r="D171">
        <f>YEAR(enquiry_analysis_data[[#This Row],[enquiry_date]])</f>
        <v>2025</v>
      </c>
      <c r="E171">
        <f>MONTH(enquiry_analysis_data[[#This Row],[enquiry_date]])</f>
        <v>8</v>
      </c>
      <c r="F171" t="s">
        <v>409</v>
      </c>
      <c r="G171" t="s">
        <v>410</v>
      </c>
      <c r="H171" s="2">
        <v>9000000385</v>
      </c>
      <c r="I171" t="s">
        <v>88</v>
      </c>
      <c r="J171" t="s">
        <v>19</v>
      </c>
      <c r="K171" t="s">
        <v>67</v>
      </c>
      <c r="L171" t="s">
        <v>99</v>
      </c>
      <c r="M171" t="s">
        <v>100</v>
      </c>
      <c r="N171" t="s">
        <v>101</v>
      </c>
      <c r="O171" t="s">
        <v>42</v>
      </c>
      <c r="P171" t="s">
        <v>43</v>
      </c>
      <c r="Q171" t="s">
        <v>53</v>
      </c>
      <c r="R171" t="s">
        <v>45</v>
      </c>
      <c r="S171">
        <f>IF(enquiry_analysis_data[[#This Row],[enquiry_status]]="Converted",1,0)</f>
        <v>0</v>
      </c>
      <c r="T171" t="s">
        <v>28</v>
      </c>
    </row>
    <row r="172" spans="1:20" x14ac:dyDescent="0.3">
      <c r="A172">
        <v>131</v>
      </c>
      <c r="B172" s="1">
        <v>45883.906041666669</v>
      </c>
      <c r="C172" s="1" t="str">
        <f>TEXT(enquiry_analysis_data[[#This Row],[enquiry_date]],"mmmm-yyyy")</f>
        <v>August-2025</v>
      </c>
      <c r="D172">
        <f>YEAR(enquiry_analysis_data[[#This Row],[enquiry_date]])</f>
        <v>2025</v>
      </c>
      <c r="E172">
        <f>MONTH(enquiry_analysis_data[[#This Row],[enquiry_date]])</f>
        <v>8</v>
      </c>
      <c r="F172" t="s">
        <v>120</v>
      </c>
      <c r="G172" t="s">
        <v>411</v>
      </c>
      <c r="H172" s="2">
        <v>9000000128</v>
      </c>
      <c r="I172" t="s">
        <v>48</v>
      </c>
      <c r="J172" t="s">
        <v>49</v>
      </c>
      <c r="K172" t="s">
        <v>105</v>
      </c>
      <c r="L172" t="s">
        <v>154</v>
      </c>
      <c r="M172" t="s">
        <v>155</v>
      </c>
      <c r="N172" t="s">
        <v>156</v>
      </c>
      <c r="O172" t="s">
        <v>24</v>
      </c>
      <c r="P172" t="s">
        <v>25</v>
      </c>
      <c r="Q172" t="s">
        <v>83</v>
      </c>
      <c r="R172" t="s">
        <v>45</v>
      </c>
      <c r="S172">
        <f>IF(enquiry_analysis_data[[#This Row],[enquiry_status]]="Converted",1,0)</f>
        <v>0</v>
      </c>
      <c r="T172" t="s">
        <v>28</v>
      </c>
    </row>
    <row r="173" spans="1:20" x14ac:dyDescent="0.3">
      <c r="A173">
        <v>79</v>
      </c>
      <c r="B173" s="1">
        <v>45887.428842592592</v>
      </c>
      <c r="C173" s="1" t="str">
        <f>TEXT(enquiry_analysis_data[[#This Row],[enquiry_date]],"mmmm-yyyy")</f>
        <v>August-2025</v>
      </c>
      <c r="D173">
        <f>YEAR(enquiry_analysis_data[[#This Row],[enquiry_date]])</f>
        <v>2025</v>
      </c>
      <c r="E173">
        <f>MONTH(enquiry_analysis_data[[#This Row],[enquiry_date]])</f>
        <v>8</v>
      </c>
      <c r="F173" t="s">
        <v>412</v>
      </c>
      <c r="G173" t="s">
        <v>413</v>
      </c>
      <c r="H173" s="2">
        <v>9000000076</v>
      </c>
      <c r="I173" t="s">
        <v>123</v>
      </c>
      <c r="J173" t="s">
        <v>19</v>
      </c>
      <c r="K173" t="s">
        <v>94</v>
      </c>
      <c r="L173" t="s">
        <v>154</v>
      </c>
      <c r="M173" t="s">
        <v>155</v>
      </c>
      <c r="N173" t="s">
        <v>156</v>
      </c>
      <c r="O173" t="s">
        <v>42</v>
      </c>
      <c r="P173" t="s">
        <v>52</v>
      </c>
      <c r="Q173" t="s">
        <v>141</v>
      </c>
      <c r="R173" t="s">
        <v>68</v>
      </c>
      <c r="S173">
        <f>IF(enquiry_analysis_data[[#This Row],[enquiry_status]]="Converted",1,0)</f>
        <v>1</v>
      </c>
      <c r="T173" t="s">
        <v>28</v>
      </c>
    </row>
    <row r="174" spans="1:20" x14ac:dyDescent="0.3">
      <c r="A174">
        <v>167</v>
      </c>
      <c r="B174" s="1">
        <v>45887.537476851852</v>
      </c>
      <c r="C174" s="1" t="str">
        <f>TEXT(enquiry_analysis_data[[#This Row],[enquiry_date]],"mmmm-yyyy")</f>
        <v>August-2025</v>
      </c>
      <c r="D174">
        <f>YEAR(enquiry_analysis_data[[#This Row],[enquiry_date]])</f>
        <v>2025</v>
      </c>
      <c r="E174">
        <f>MONTH(enquiry_analysis_data[[#This Row],[enquiry_date]])</f>
        <v>8</v>
      </c>
      <c r="F174" t="s">
        <v>414</v>
      </c>
      <c r="G174" t="s">
        <v>415</v>
      </c>
      <c r="H174" s="2">
        <v>9000000164</v>
      </c>
      <c r="I174" t="s">
        <v>77</v>
      </c>
      <c r="J174" t="s">
        <v>128</v>
      </c>
      <c r="K174" t="s">
        <v>20</v>
      </c>
      <c r="L174" t="s">
        <v>111</v>
      </c>
      <c r="M174" t="s">
        <v>112</v>
      </c>
      <c r="N174" t="s">
        <v>113</v>
      </c>
      <c r="O174" t="s">
        <v>24</v>
      </c>
      <c r="P174" t="s">
        <v>36</v>
      </c>
      <c r="Q174" t="s">
        <v>83</v>
      </c>
      <c r="R174" t="s">
        <v>56</v>
      </c>
      <c r="S174">
        <f>IF(enquiry_analysis_data[[#This Row],[enquiry_status]]="Converted",1,0)</f>
        <v>0</v>
      </c>
      <c r="T174" t="s">
        <v>28</v>
      </c>
    </row>
    <row r="175" spans="1:20" x14ac:dyDescent="0.3">
      <c r="A175">
        <v>222</v>
      </c>
      <c r="B175" s="1">
        <v>45889.407222222224</v>
      </c>
      <c r="C175" s="1" t="str">
        <f>TEXT(enquiry_analysis_data[[#This Row],[enquiry_date]],"mmmm-yyyy")</f>
        <v>August-2025</v>
      </c>
      <c r="D175">
        <f>YEAR(enquiry_analysis_data[[#This Row],[enquiry_date]])</f>
        <v>2025</v>
      </c>
      <c r="E175">
        <f>MONTH(enquiry_analysis_data[[#This Row],[enquiry_date]])</f>
        <v>8</v>
      </c>
      <c r="F175" t="s">
        <v>416</v>
      </c>
      <c r="G175" t="s">
        <v>417</v>
      </c>
      <c r="H175" s="2">
        <v>9000000219</v>
      </c>
      <c r="I175" t="s">
        <v>59</v>
      </c>
      <c r="J175" t="s">
        <v>19</v>
      </c>
      <c r="K175" t="s">
        <v>33</v>
      </c>
      <c r="L175" t="s">
        <v>144</v>
      </c>
      <c r="M175" t="s">
        <v>145</v>
      </c>
      <c r="N175" t="s">
        <v>101</v>
      </c>
      <c r="O175" t="s">
        <v>42</v>
      </c>
      <c r="P175" t="s">
        <v>25</v>
      </c>
      <c r="Q175" t="s">
        <v>53</v>
      </c>
      <c r="R175" t="s">
        <v>68</v>
      </c>
      <c r="S175">
        <f>IF(enquiry_analysis_data[[#This Row],[enquiry_status]]="Converted",1,0)</f>
        <v>1</v>
      </c>
      <c r="T175" t="s">
        <v>28</v>
      </c>
    </row>
    <row r="176" spans="1:20" x14ac:dyDescent="0.3">
      <c r="A176">
        <v>6</v>
      </c>
      <c r="B176" s="1">
        <v>45891.642199074071</v>
      </c>
      <c r="C176" s="1" t="str">
        <f>TEXT(enquiry_analysis_data[[#This Row],[enquiry_date]],"mmmm-yyyy")</f>
        <v>August-2025</v>
      </c>
      <c r="D176">
        <f>YEAR(enquiry_analysis_data[[#This Row],[enquiry_date]])</f>
        <v>2025</v>
      </c>
      <c r="E176">
        <f>MONTH(enquiry_analysis_data[[#This Row],[enquiry_date]])</f>
        <v>8</v>
      </c>
      <c r="F176" t="s">
        <v>398</v>
      </c>
      <c r="G176" t="s">
        <v>418</v>
      </c>
      <c r="H176" s="2">
        <v>9000000003</v>
      </c>
      <c r="I176" t="s">
        <v>18</v>
      </c>
      <c r="J176" t="s">
        <v>19</v>
      </c>
      <c r="K176" t="s">
        <v>67</v>
      </c>
      <c r="L176" t="s">
        <v>117</v>
      </c>
      <c r="M176" t="s">
        <v>118</v>
      </c>
      <c r="N176" t="s">
        <v>119</v>
      </c>
      <c r="O176" t="s">
        <v>42</v>
      </c>
      <c r="P176" t="s">
        <v>25</v>
      </c>
      <c r="Q176" t="s">
        <v>26</v>
      </c>
      <c r="R176" t="s">
        <v>114</v>
      </c>
      <c r="S176">
        <f>IF(enquiry_analysis_data[[#This Row],[enquiry_status]]="Converted",1,0)</f>
        <v>0</v>
      </c>
      <c r="T176" t="s">
        <v>28</v>
      </c>
    </row>
    <row r="177" spans="1:20" x14ac:dyDescent="0.3">
      <c r="A177">
        <v>42</v>
      </c>
      <c r="B177" s="1">
        <v>45894.569606481484</v>
      </c>
      <c r="C177" s="1" t="str">
        <f>TEXT(enquiry_analysis_data[[#This Row],[enquiry_date]],"mmmm-yyyy")</f>
        <v>August-2025</v>
      </c>
      <c r="D177">
        <f>YEAR(enquiry_analysis_data[[#This Row],[enquiry_date]])</f>
        <v>2025</v>
      </c>
      <c r="E177">
        <f>MONTH(enquiry_analysis_data[[#This Row],[enquiry_date]])</f>
        <v>8</v>
      </c>
      <c r="F177" t="s">
        <v>419</v>
      </c>
      <c r="G177" t="s">
        <v>420</v>
      </c>
      <c r="H177" s="2">
        <v>9000000039</v>
      </c>
      <c r="I177" t="s">
        <v>71</v>
      </c>
      <c r="J177" t="s">
        <v>19</v>
      </c>
      <c r="K177" t="s">
        <v>20</v>
      </c>
      <c r="L177" t="s">
        <v>117</v>
      </c>
      <c r="M177" t="s">
        <v>118</v>
      </c>
      <c r="N177" t="s">
        <v>119</v>
      </c>
      <c r="O177" t="s">
        <v>42</v>
      </c>
      <c r="P177" t="s">
        <v>43</v>
      </c>
      <c r="Q177" t="s">
        <v>53</v>
      </c>
      <c r="R177" t="s">
        <v>56</v>
      </c>
      <c r="S177">
        <f>IF(enquiry_analysis_data[[#This Row],[enquiry_status]]="Converted",1,0)</f>
        <v>0</v>
      </c>
      <c r="T177" t="s">
        <v>28</v>
      </c>
    </row>
    <row r="178" spans="1:20" x14ac:dyDescent="0.3">
      <c r="A178">
        <v>466</v>
      </c>
      <c r="B178" s="1">
        <v>45895.134791666664</v>
      </c>
      <c r="C178" s="1" t="str">
        <f>TEXT(enquiry_analysis_data[[#This Row],[enquiry_date]],"mmmm-yyyy")</f>
        <v>August-2025</v>
      </c>
      <c r="D178">
        <f>YEAR(enquiry_analysis_data[[#This Row],[enquiry_date]])</f>
        <v>2025</v>
      </c>
      <c r="E178">
        <f>MONTH(enquiry_analysis_data[[#This Row],[enquiry_date]])</f>
        <v>8</v>
      </c>
      <c r="F178" t="s">
        <v>421</v>
      </c>
      <c r="G178" t="s">
        <v>422</v>
      </c>
      <c r="H178" s="2">
        <v>9000000463</v>
      </c>
      <c r="I178" t="s">
        <v>93</v>
      </c>
      <c r="J178" t="s">
        <v>32</v>
      </c>
      <c r="K178" t="s">
        <v>33</v>
      </c>
      <c r="L178" t="s">
        <v>144</v>
      </c>
      <c r="M178" t="s">
        <v>145</v>
      </c>
      <c r="N178" t="s">
        <v>101</v>
      </c>
      <c r="O178" t="s">
        <v>42</v>
      </c>
      <c r="P178" t="s">
        <v>36</v>
      </c>
      <c r="Q178" t="s">
        <v>26</v>
      </c>
      <c r="R178" t="s">
        <v>68</v>
      </c>
      <c r="S178">
        <f>IF(enquiry_analysis_data[[#This Row],[enquiry_status]]="Converted",1,0)</f>
        <v>1</v>
      </c>
      <c r="T178" t="s">
        <v>28</v>
      </c>
    </row>
    <row r="179" spans="1:20" x14ac:dyDescent="0.3">
      <c r="A179">
        <v>376</v>
      </c>
      <c r="B179" s="1">
        <v>45895.641956018517</v>
      </c>
      <c r="C179" s="1" t="str">
        <f>TEXT(enquiry_analysis_data[[#This Row],[enquiry_date]],"mmmm-yyyy")</f>
        <v>August-2025</v>
      </c>
      <c r="D179">
        <f>YEAR(enquiry_analysis_data[[#This Row],[enquiry_date]])</f>
        <v>2025</v>
      </c>
      <c r="E179">
        <f>MONTH(enquiry_analysis_data[[#This Row],[enquiry_date]])</f>
        <v>8</v>
      </c>
      <c r="F179" t="s">
        <v>182</v>
      </c>
      <c r="G179" t="s">
        <v>423</v>
      </c>
      <c r="H179" s="2">
        <v>9000000373</v>
      </c>
      <c r="I179" t="s">
        <v>123</v>
      </c>
      <c r="J179" t="s">
        <v>19</v>
      </c>
      <c r="K179" t="s">
        <v>33</v>
      </c>
      <c r="L179" t="s">
        <v>144</v>
      </c>
      <c r="M179" t="s">
        <v>145</v>
      </c>
      <c r="N179" t="s">
        <v>101</v>
      </c>
      <c r="O179" t="s">
        <v>42</v>
      </c>
      <c r="P179" t="s">
        <v>52</v>
      </c>
      <c r="Q179" t="s">
        <v>63</v>
      </c>
      <c r="R179" t="s">
        <v>68</v>
      </c>
      <c r="S179">
        <f>IF(enquiry_analysis_data[[#This Row],[enquiry_status]]="Converted",1,0)</f>
        <v>1</v>
      </c>
      <c r="T179" t="s">
        <v>28</v>
      </c>
    </row>
    <row r="180" spans="1:20" x14ac:dyDescent="0.3">
      <c r="A180">
        <v>85</v>
      </c>
      <c r="B180" s="1">
        <v>45898.370497685188</v>
      </c>
      <c r="C180" s="1" t="str">
        <f>TEXT(enquiry_analysis_data[[#This Row],[enquiry_date]],"mmmm-yyyy")</f>
        <v>August-2025</v>
      </c>
      <c r="D180">
        <f>YEAR(enquiry_analysis_data[[#This Row],[enquiry_date]])</f>
        <v>2025</v>
      </c>
      <c r="E180">
        <f>MONTH(enquiry_analysis_data[[#This Row],[enquiry_date]])</f>
        <v>8</v>
      </c>
      <c r="F180" t="s">
        <v>424</v>
      </c>
      <c r="G180" t="s">
        <v>425</v>
      </c>
      <c r="H180" s="2">
        <v>9000000082</v>
      </c>
      <c r="I180" t="s">
        <v>77</v>
      </c>
      <c r="J180" t="s">
        <v>49</v>
      </c>
      <c r="K180" t="s">
        <v>20</v>
      </c>
      <c r="L180" t="s">
        <v>144</v>
      </c>
      <c r="M180" t="s">
        <v>145</v>
      </c>
      <c r="N180" t="s">
        <v>101</v>
      </c>
      <c r="O180" t="s">
        <v>42</v>
      </c>
      <c r="P180" t="s">
        <v>36</v>
      </c>
      <c r="Q180" t="s">
        <v>44</v>
      </c>
      <c r="R180" t="s">
        <v>114</v>
      </c>
      <c r="S180">
        <f>IF(enquiry_analysis_data[[#This Row],[enquiry_status]]="Converted",1,0)</f>
        <v>0</v>
      </c>
      <c r="T180" t="s">
        <v>28</v>
      </c>
    </row>
    <row r="181" spans="1:20" x14ac:dyDescent="0.3">
      <c r="A181">
        <v>133</v>
      </c>
      <c r="B181" s="1">
        <v>45898.608194444445</v>
      </c>
      <c r="C181" s="1" t="str">
        <f>TEXT(enquiry_analysis_data[[#This Row],[enquiry_date]],"mmmm-yyyy")</f>
        <v>August-2025</v>
      </c>
      <c r="D181">
        <f>YEAR(enquiry_analysis_data[[#This Row],[enquiry_date]])</f>
        <v>2025</v>
      </c>
      <c r="E181">
        <f>MONTH(enquiry_analysis_data[[#This Row],[enquiry_date]])</f>
        <v>8</v>
      </c>
      <c r="F181" t="s">
        <v>426</v>
      </c>
      <c r="G181" t="s">
        <v>427</v>
      </c>
      <c r="H181" s="2">
        <v>9000000130</v>
      </c>
      <c r="I181" t="s">
        <v>71</v>
      </c>
      <c r="J181" t="s">
        <v>37</v>
      </c>
      <c r="K181" t="s">
        <v>67</v>
      </c>
      <c r="L181" t="s">
        <v>50</v>
      </c>
      <c r="M181" t="s">
        <v>51</v>
      </c>
      <c r="N181" t="s">
        <v>23</v>
      </c>
      <c r="O181" t="s">
        <v>42</v>
      </c>
      <c r="P181" t="s">
        <v>43</v>
      </c>
      <c r="Q181" t="s">
        <v>141</v>
      </c>
      <c r="R181" t="s">
        <v>68</v>
      </c>
      <c r="S181">
        <f>IF(enquiry_analysis_data[[#This Row],[enquiry_status]]="Converted",1,0)</f>
        <v>1</v>
      </c>
      <c r="T181" t="s">
        <v>28</v>
      </c>
    </row>
    <row r="182" spans="1:20" x14ac:dyDescent="0.3">
      <c r="A182">
        <v>428</v>
      </c>
      <c r="B182" s="1">
        <v>45898.896053240744</v>
      </c>
      <c r="C182" s="1" t="str">
        <f>TEXT(enquiry_analysis_data[[#This Row],[enquiry_date]],"mmmm-yyyy")</f>
        <v>August-2025</v>
      </c>
      <c r="D182">
        <f>YEAR(enquiry_analysis_data[[#This Row],[enquiry_date]])</f>
        <v>2025</v>
      </c>
      <c r="E182">
        <f>MONTH(enquiry_analysis_data[[#This Row],[enquiry_date]])</f>
        <v>8</v>
      </c>
      <c r="F182" t="s">
        <v>428</v>
      </c>
      <c r="G182" t="s">
        <v>429</v>
      </c>
      <c r="H182" s="2">
        <v>9000000425</v>
      </c>
      <c r="I182" t="s">
        <v>77</v>
      </c>
      <c r="J182" t="s">
        <v>19</v>
      </c>
      <c r="K182" t="s">
        <v>33</v>
      </c>
      <c r="L182" t="s">
        <v>154</v>
      </c>
      <c r="M182" t="s">
        <v>155</v>
      </c>
      <c r="N182" t="s">
        <v>156</v>
      </c>
      <c r="O182" t="s">
        <v>24</v>
      </c>
      <c r="P182" t="s">
        <v>52</v>
      </c>
      <c r="Q182" t="s">
        <v>26</v>
      </c>
      <c r="R182" t="s">
        <v>68</v>
      </c>
      <c r="S182">
        <f>IF(enquiry_analysis_data[[#This Row],[enquiry_status]]="Converted",1,0)</f>
        <v>1</v>
      </c>
      <c r="T182" t="s">
        <v>28</v>
      </c>
    </row>
    <row r="183" spans="1:20" x14ac:dyDescent="0.3">
      <c r="A183">
        <v>249</v>
      </c>
      <c r="B183" s="1">
        <v>45899.086793981478</v>
      </c>
      <c r="C183" s="1" t="str">
        <f>TEXT(enquiry_analysis_data[[#This Row],[enquiry_date]],"mmmm-yyyy")</f>
        <v>August-2025</v>
      </c>
      <c r="D183">
        <f>YEAR(enquiry_analysis_data[[#This Row],[enquiry_date]])</f>
        <v>2025</v>
      </c>
      <c r="E183">
        <f>MONTH(enquiry_analysis_data[[#This Row],[enquiry_date]])</f>
        <v>8</v>
      </c>
      <c r="F183" t="s">
        <v>430</v>
      </c>
      <c r="G183" t="s">
        <v>431</v>
      </c>
      <c r="H183" s="2">
        <v>9000000246</v>
      </c>
      <c r="I183" t="s">
        <v>88</v>
      </c>
      <c r="J183" t="s">
        <v>128</v>
      </c>
      <c r="K183" t="s">
        <v>20</v>
      </c>
      <c r="L183" t="s">
        <v>50</v>
      </c>
      <c r="M183" t="s">
        <v>51</v>
      </c>
      <c r="N183" t="s">
        <v>23</v>
      </c>
      <c r="O183" t="s">
        <v>24</v>
      </c>
      <c r="P183" t="s">
        <v>36</v>
      </c>
      <c r="Q183" t="s">
        <v>44</v>
      </c>
      <c r="R183" t="s">
        <v>45</v>
      </c>
      <c r="S183">
        <f>IF(enquiry_analysis_data[[#This Row],[enquiry_status]]="Converted",1,0)</f>
        <v>0</v>
      </c>
      <c r="T183" t="s">
        <v>28</v>
      </c>
    </row>
    <row r="184" spans="1:20" x14ac:dyDescent="0.3">
      <c r="A184">
        <v>92</v>
      </c>
      <c r="B184" s="1">
        <v>45901.536377314813</v>
      </c>
      <c r="C184" s="1" t="str">
        <f>TEXT(enquiry_analysis_data[[#This Row],[enquiry_date]],"mmmm-yyyy")</f>
        <v>September-2025</v>
      </c>
      <c r="D184">
        <f>YEAR(enquiry_analysis_data[[#This Row],[enquiry_date]])</f>
        <v>2025</v>
      </c>
      <c r="E184">
        <f>MONTH(enquiry_analysis_data[[#This Row],[enquiry_date]])</f>
        <v>9</v>
      </c>
      <c r="F184" t="s">
        <v>432</v>
      </c>
      <c r="G184" t="s">
        <v>433</v>
      </c>
      <c r="H184" s="2">
        <v>9000000089</v>
      </c>
      <c r="I184" t="s">
        <v>59</v>
      </c>
      <c r="J184" t="s">
        <v>19</v>
      </c>
      <c r="K184" t="s">
        <v>33</v>
      </c>
      <c r="L184" t="s">
        <v>50</v>
      </c>
      <c r="M184" t="s">
        <v>51</v>
      </c>
      <c r="N184" t="s">
        <v>23</v>
      </c>
      <c r="O184" t="s">
        <v>42</v>
      </c>
      <c r="P184" t="s">
        <v>43</v>
      </c>
      <c r="Q184" t="s">
        <v>26</v>
      </c>
      <c r="R184" t="s">
        <v>68</v>
      </c>
      <c r="S184">
        <f>IF(enquiry_analysis_data[[#This Row],[enquiry_status]]="Converted",1,0)</f>
        <v>1</v>
      </c>
      <c r="T184" t="s">
        <v>28</v>
      </c>
    </row>
    <row r="185" spans="1:20" x14ac:dyDescent="0.3">
      <c r="A185">
        <v>457</v>
      </c>
      <c r="B185" s="1">
        <v>45902.968692129631</v>
      </c>
      <c r="C185" s="1" t="str">
        <f>TEXT(enquiry_analysis_data[[#This Row],[enquiry_date]],"mmmm-yyyy")</f>
        <v>September-2025</v>
      </c>
      <c r="D185">
        <f>YEAR(enquiry_analysis_data[[#This Row],[enquiry_date]])</f>
        <v>2025</v>
      </c>
      <c r="E185">
        <f>MONTH(enquiry_analysis_data[[#This Row],[enquiry_date]])</f>
        <v>9</v>
      </c>
      <c r="F185" t="s">
        <v>361</v>
      </c>
      <c r="G185" t="s">
        <v>434</v>
      </c>
      <c r="H185" s="2">
        <v>9000000454</v>
      </c>
      <c r="I185" t="s">
        <v>31</v>
      </c>
      <c r="J185" t="s">
        <v>32</v>
      </c>
      <c r="K185" t="s">
        <v>94</v>
      </c>
      <c r="L185" t="s">
        <v>40</v>
      </c>
      <c r="M185" t="s">
        <v>41</v>
      </c>
      <c r="N185" t="s">
        <v>41</v>
      </c>
      <c r="O185" t="s">
        <v>42</v>
      </c>
      <c r="P185" t="s">
        <v>36</v>
      </c>
      <c r="Q185" t="s">
        <v>53</v>
      </c>
      <c r="R185" t="s">
        <v>27</v>
      </c>
      <c r="S185">
        <f>IF(enquiry_analysis_data[[#This Row],[enquiry_status]]="Converted",1,0)</f>
        <v>0</v>
      </c>
      <c r="T185" t="s">
        <v>28</v>
      </c>
    </row>
    <row r="186" spans="1:20" x14ac:dyDescent="0.3">
      <c r="A186">
        <v>208</v>
      </c>
      <c r="B186" s="1">
        <v>45906.256550925929</v>
      </c>
      <c r="C186" s="1" t="str">
        <f>TEXT(enquiry_analysis_data[[#This Row],[enquiry_date]],"mmmm-yyyy")</f>
        <v>September-2025</v>
      </c>
      <c r="D186">
        <f>YEAR(enquiry_analysis_data[[#This Row],[enquiry_date]])</f>
        <v>2025</v>
      </c>
      <c r="E186">
        <f>MONTH(enquiry_analysis_data[[#This Row],[enquiry_date]])</f>
        <v>9</v>
      </c>
      <c r="F186" t="s">
        <v>435</v>
      </c>
      <c r="G186" t="s">
        <v>436</v>
      </c>
      <c r="H186" s="2">
        <v>9000000205</v>
      </c>
      <c r="I186" t="s">
        <v>48</v>
      </c>
      <c r="J186" t="s">
        <v>19</v>
      </c>
      <c r="K186" t="s">
        <v>20</v>
      </c>
      <c r="L186" t="s">
        <v>34</v>
      </c>
      <c r="M186" t="s">
        <v>35</v>
      </c>
      <c r="N186" t="s">
        <v>35</v>
      </c>
      <c r="O186" t="s">
        <v>42</v>
      </c>
      <c r="P186" t="s">
        <v>36</v>
      </c>
      <c r="Q186" t="s">
        <v>26</v>
      </c>
      <c r="R186" t="s">
        <v>56</v>
      </c>
      <c r="S186">
        <f>IF(enquiry_analysis_data[[#This Row],[enquiry_status]]="Converted",1,0)</f>
        <v>0</v>
      </c>
      <c r="T186" t="s">
        <v>28</v>
      </c>
    </row>
    <row r="187" spans="1:20" x14ac:dyDescent="0.3">
      <c r="A187">
        <v>284</v>
      </c>
      <c r="B187" s="1">
        <v>45906.552488425928</v>
      </c>
      <c r="C187" s="1" t="str">
        <f>TEXT(enquiry_analysis_data[[#This Row],[enquiry_date]],"mmmm-yyyy")</f>
        <v>September-2025</v>
      </c>
      <c r="D187">
        <f>YEAR(enquiry_analysis_data[[#This Row],[enquiry_date]])</f>
        <v>2025</v>
      </c>
      <c r="E187">
        <f>MONTH(enquiry_analysis_data[[#This Row],[enquiry_date]])</f>
        <v>9</v>
      </c>
      <c r="F187" t="s">
        <v>437</v>
      </c>
      <c r="G187" t="s">
        <v>438</v>
      </c>
      <c r="H187" s="2">
        <v>9000000281</v>
      </c>
      <c r="I187" t="s">
        <v>93</v>
      </c>
      <c r="J187" t="s">
        <v>49</v>
      </c>
      <c r="K187" t="s">
        <v>105</v>
      </c>
      <c r="L187" t="s">
        <v>136</v>
      </c>
      <c r="M187" t="s">
        <v>137</v>
      </c>
      <c r="N187" t="s">
        <v>62</v>
      </c>
      <c r="O187" t="s">
        <v>24</v>
      </c>
      <c r="P187" t="s">
        <v>25</v>
      </c>
      <c r="Q187" t="s">
        <v>26</v>
      </c>
      <c r="R187" t="s">
        <v>45</v>
      </c>
      <c r="S187">
        <f>IF(enquiry_analysis_data[[#This Row],[enquiry_status]]="Converted",1,0)</f>
        <v>0</v>
      </c>
      <c r="T187" t="s">
        <v>28</v>
      </c>
    </row>
    <row r="188" spans="1:20" x14ac:dyDescent="0.3">
      <c r="A188">
        <v>46</v>
      </c>
      <c r="B188" s="1">
        <v>45909.469166666669</v>
      </c>
      <c r="C188" s="1" t="str">
        <f>TEXT(enquiry_analysis_data[[#This Row],[enquiry_date]],"mmmm-yyyy")</f>
        <v>September-2025</v>
      </c>
      <c r="D188">
        <f>YEAR(enquiry_analysis_data[[#This Row],[enquiry_date]])</f>
        <v>2025</v>
      </c>
      <c r="E188">
        <f>MONTH(enquiry_analysis_data[[#This Row],[enquiry_date]])</f>
        <v>9</v>
      </c>
      <c r="F188" t="s">
        <v>439</v>
      </c>
      <c r="G188" t="s">
        <v>440</v>
      </c>
      <c r="H188" s="2">
        <v>9000000043</v>
      </c>
      <c r="I188" t="s">
        <v>88</v>
      </c>
      <c r="J188" t="s">
        <v>19</v>
      </c>
      <c r="K188" t="s">
        <v>20</v>
      </c>
      <c r="L188" t="s">
        <v>60</v>
      </c>
      <c r="M188" t="s">
        <v>61</v>
      </c>
      <c r="N188" t="s">
        <v>62</v>
      </c>
      <c r="O188" t="s">
        <v>42</v>
      </c>
      <c r="P188" t="s">
        <v>52</v>
      </c>
      <c r="Q188" t="s">
        <v>138</v>
      </c>
      <c r="R188" t="s">
        <v>45</v>
      </c>
      <c r="S188">
        <f>IF(enquiry_analysis_data[[#This Row],[enquiry_status]]="Converted",1,0)</f>
        <v>0</v>
      </c>
      <c r="T188" t="s">
        <v>28</v>
      </c>
    </row>
    <row r="189" spans="1:20" x14ac:dyDescent="0.3">
      <c r="A189">
        <v>358</v>
      </c>
      <c r="B189" s="1">
        <v>45915.130706018521</v>
      </c>
      <c r="C189" s="1" t="str">
        <f>TEXT(enquiry_analysis_data[[#This Row],[enquiry_date]],"mmmm-yyyy")</f>
        <v>September-2025</v>
      </c>
      <c r="D189">
        <f>YEAR(enquiry_analysis_data[[#This Row],[enquiry_date]])</f>
        <v>2025</v>
      </c>
      <c r="E189">
        <f>MONTH(enquiry_analysis_data[[#This Row],[enquiry_date]])</f>
        <v>9</v>
      </c>
      <c r="F189" t="s">
        <v>441</v>
      </c>
      <c r="G189" t="s">
        <v>442</v>
      </c>
      <c r="H189" s="2">
        <v>9000000355</v>
      </c>
      <c r="I189" t="s">
        <v>123</v>
      </c>
      <c r="J189" t="s">
        <v>32</v>
      </c>
      <c r="K189" t="s">
        <v>67</v>
      </c>
      <c r="L189" t="s">
        <v>21</v>
      </c>
      <c r="M189" t="s">
        <v>22</v>
      </c>
      <c r="N189" t="s">
        <v>23</v>
      </c>
      <c r="O189" t="s">
        <v>24</v>
      </c>
      <c r="P189" t="s">
        <v>52</v>
      </c>
      <c r="Q189" t="s">
        <v>53</v>
      </c>
      <c r="R189" t="s">
        <v>68</v>
      </c>
      <c r="S189">
        <f>IF(enquiry_analysis_data[[#This Row],[enquiry_status]]="Converted",1,0)</f>
        <v>1</v>
      </c>
      <c r="T189" t="s">
        <v>28</v>
      </c>
    </row>
    <row r="190" spans="1:20" x14ac:dyDescent="0.3">
      <c r="A190">
        <v>32</v>
      </c>
      <c r="B190" s="1">
        <v>45915.308194444442</v>
      </c>
      <c r="C190" s="1" t="str">
        <f>TEXT(enquiry_analysis_data[[#This Row],[enquiry_date]],"mmmm-yyyy")</f>
        <v>September-2025</v>
      </c>
      <c r="D190">
        <f>YEAR(enquiry_analysis_data[[#This Row],[enquiry_date]])</f>
        <v>2025</v>
      </c>
      <c r="E190">
        <f>MONTH(enquiry_analysis_data[[#This Row],[enquiry_date]])</f>
        <v>9</v>
      </c>
      <c r="F190" t="s">
        <v>203</v>
      </c>
      <c r="G190" t="s">
        <v>443</v>
      </c>
      <c r="H190" s="2">
        <v>9000000029</v>
      </c>
      <c r="I190" t="s">
        <v>77</v>
      </c>
      <c r="J190" t="s">
        <v>32</v>
      </c>
      <c r="K190" t="s">
        <v>94</v>
      </c>
      <c r="L190" t="s">
        <v>154</v>
      </c>
      <c r="M190" t="s">
        <v>155</v>
      </c>
      <c r="N190" t="s">
        <v>156</v>
      </c>
      <c r="O190" t="s">
        <v>42</v>
      </c>
      <c r="P190" t="s">
        <v>25</v>
      </c>
      <c r="Q190" t="s">
        <v>26</v>
      </c>
      <c r="R190" t="s">
        <v>56</v>
      </c>
      <c r="S190">
        <f>IF(enquiry_analysis_data[[#This Row],[enquiry_status]]="Converted",1,0)</f>
        <v>0</v>
      </c>
      <c r="T190" t="s">
        <v>28</v>
      </c>
    </row>
    <row r="191" spans="1:20" x14ac:dyDescent="0.3">
      <c r="A191">
        <v>218</v>
      </c>
      <c r="B191" s="1">
        <v>45915.462256944447</v>
      </c>
      <c r="C191" s="1" t="str">
        <f>TEXT(enquiry_analysis_data[[#This Row],[enquiry_date]],"mmmm-yyyy")</f>
        <v>September-2025</v>
      </c>
      <c r="D191">
        <f>YEAR(enquiry_analysis_data[[#This Row],[enquiry_date]])</f>
        <v>2025</v>
      </c>
      <c r="E191">
        <f>MONTH(enquiry_analysis_data[[#This Row],[enquiry_date]])</f>
        <v>9</v>
      </c>
      <c r="F191" t="s">
        <v>115</v>
      </c>
      <c r="G191" t="s">
        <v>444</v>
      </c>
      <c r="H191" s="2">
        <v>9000000215</v>
      </c>
      <c r="I191" t="s">
        <v>18</v>
      </c>
      <c r="J191" t="s">
        <v>49</v>
      </c>
      <c r="K191" t="s">
        <v>20</v>
      </c>
      <c r="L191" t="s">
        <v>78</v>
      </c>
      <c r="M191" t="s">
        <v>79</v>
      </c>
      <c r="N191" t="s">
        <v>80</v>
      </c>
      <c r="O191" t="s">
        <v>42</v>
      </c>
      <c r="P191" t="s">
        <v>36</v>
      </c>
      <c r="Q191" t="s">
        <v>141</v>
      </c>
      <c r="R191" t="s">
        <v>194</v>
      </c>
      <c r="S191">
        <f>IF(enquiry_analysis_data[[#This Row],[enquiry_status]]="Converted",1,0)</f>
        <v>0</v>
      </c>
      <c r="T191" t="s">
        <v>28</v>
      </c>
    </row>
    <row r="192" spans="1:20" x14ac:dyDescent="0.3">
      <c r="A192">
        <v>279</v>
      </c>
      <c r="B192" s="1">
        <v>45916.040405092594</v>
      </c>
      <c r="C192" s="1" t="str">
        <f>TEXT(enquiry_analysis_data[[#This Row],[enquiry_date]],"mmmm-yyyy")</f>
        <v>September-2025</v>
      </c>
      <c r="D192">
        <f>YEAR(enquiry_analysis_data[[#This Row],[enquiry_date]])</f>
        <v>2025</v>
      </c>
      <c r="E192">
        <f>MONTH(enquiry_analysis_data[[#This Row],[enquiry_date]])</f>
        <v>9</v>
      </c>
      <c r="F192" t="s">
        <v>445</v>
      </c>
      <c r="G192" t="s">
        <v>446</v>
      </c>
      <c r="H192" s="2">
        <v>9000000276</v>
      </c>
      <c r="I192" t="s">
        <v>59</v>
      </c>
      <c r="J192" t="s">
        <v>128</v>
      </c>
      <c r="K192" t="s">
        <v>33</v>
      </c>
      <c r="L192" t="s">
        <v>21</v>
      </c>
      <c r="M192" t="s">
        <v>22</v>
      </c>
      <c r="N192" t="s">
        <v>23</v>
      </c>
      <c r="O192" t="s">
        <v>24</v>
      </c>
      <c r="P192" t="s">
        <v>25</v>
      </c>
      <c r="Q192" t="s">
        <v>141</v>
      </c>
      <c r="R192" t="s">
        <v>56</v>
      </c>
      <c r="S192">
        <f>IF(enquiry_analysis_data[[#This Row],[enquiry_status]]="Converted",1,0)</f>
        <v>0</v>
      </c>
      <c r="T192" t="s">
        <v>28</v>
      </c>
    </row>
    <row r="193" spans="1:20" x14ac:dyDescent="0.3">
      <c r="A193">
        <v>342</v>
      </c>
      <c r="B193" s="1">
        <v>45916.225752314815</v>
      </c>
      <c r="C193" s="1" t="str">
        <f>TEXT(enquiry_analysis_data[[#This Row],[enquiry_date]],"mmmm-yyyy")</f>
        <v>September-2025</v>
      </c>
      <c r="D193">
        <f>YEAR(enquiry_analysis_data[[#This Row],[enquiry_date]])</f>
        <v>2025</v>
      </c>
      <c r="E193">
        <f>MONTH(enquiry_analysis_data[[#This Row],[enquiry_date]])</f>
        <v>9</v>
      </c>
      <c r="F193" t="s">
        <v>447</v>
      </c>
      <c r="G193" t="s">
        <v>448</v>
      </c>
      <c r="H193" s="2">
        <v>9000000339</v>
      </c>
      <c r="I193" t="s">
        <v>18</v>
      </c>
      <c r="J193" t="s">
        <v>19</v>
      </c>
      <c r="K193" t="s">
        <v>20</v>
      </c>
      <c r="L193" t="s">
        <v>245</v>
      </c>
      <c r="M193" t="s">
        <v>246</v>
      </c>
      <c r="N193" t="s">
        <v>156</v>
      </c>
      <c r="O193" t="s">
        <v>42</v>
      </c>
      <c r="P193" t="s">
        <v>25</v>
      </c>
      <c r="Q193" t="s">
        <v>141</v>
      </c>
      <c r="R193" t="s">
        <v>56</v>
      </c>
      <c r="S193">
        <f>IF(enquiry_analysis_data[[#This Row],[enquiry_status]]="Converted",1,0)</f>
        <v>0</v>
      </c>
      <c r="T193" t="s">
        <v>28</v>
      </c>
    </row>
    <row r="194" spans="1:20" x14ac:dyDescent="0.3">
      <c r="A194">
        <v>54</v>
      </c>
      <c r="B194" s="1">
        <v>45916.242905092593</v>
      </c>
      <c r="C194" s="1" t="str">
        <f>TEXT(enquiry_analysis_data[[#This Row],[enquiry_date]],"mmmm-yyyy")</f>
        <v>September-2025</v>
      </c>
      <c r="D194">
        <f>YEAR(enquiry_analysis_data[[#This Row],[enquiry_date]])</f>
        <v>2025</v>
      </c>
      <c r="E194">
        <f>MONTH(enquiry_analysis_data[[#This Row],[enquiry_date]])</f>
        <v>9</v>
      </c>
      <c r="F194" t="s">
        <v>449</v>
      </c>
      <c r="G194" t="s">
        <v>450</v>
      </c>
      <c r="H194" s="2">
        <v>9000000051</v>
      </c>
      <c r="I194" t="s">
        <v>88</v>
      </c>
      <c r="J194" t="s">
        <v>19</v>
      </c>
      <c r="K194" t="s">
        <v>20</v>
      </c>
      <c r="L194" t="s">
        <v>72</v>
      </c>
      <c r="M194" t="s">
        <v>73</v>
      </c>
      <c r="N194" t="s">
        <v>74</v>
      </c>
      <c r="O194" t="s">
        <v>42</v>
      </c>
      <c r="P194" t="s">
        <v>52</v>
      </c>
      <c r="Q194" t="s">
        <v>83</v>
      </c>
      <c r="R194" t="s">
        <v>27</v>
      </c>
      <c r="S194">
        <f>IF(enquiry_analysis_data[[#This Row],[enquiry_status]]="Converted",1,0)</f>
        <v>0</v>
      </c>
      <c r="T194" t="s">
        <v>28</v>
      </c>
    </row>
    <row r="195" spans="1:20" x14ac:dyDescent="0.3">
      <c r="A195">
        <v>184</v>
      </c>
      <c r="B195" s="1">
        <v>45916.996018518519</v>
      </c>
      <c r="C195" s="1" t="str">
        <f>TEXT(enquiry_analysis_data[[#This Row],[enquiry_date]],"mmmm-yyyy")</f>
        <v>September-2025</v>
      </c>
      <c r="D195">
        <f>YEAR(enquiry_analysis_data[[#This Row],[enquiry_date]])</f>
        <v>2025</v>
      </c>
      <c r="E195">
        <f>MONTH(enquiry_analysis_data[[#This Row],[enquiry_date]])</f>
        <v>9</v>
      </c>
      <c r="F195" t="s">
        <v>451</v>
      </c>
      <c r="G195" t="s">
        <v>452</v>
      </c>
      <c r="H195" s="2">
        <v>9000000181</v>
      </c>
      <c r="I195" t="s">
        <v>48</v>
      </c>
      <c r="J195" t="s">
        <v>19</v>
      </c>
      <c r="K195" t="s">
        <v>20</v>
      </c>
      <c r="L195" t="s">
        <v>111</v>
      </c>
      <c r="M195" t="s">
        <v>112</v>
      </c>
      <c r="N195" t="s">
        <v>113</v>
      </c>
      <c r="O195" t="s">
        <v>24</v>
      </c>
      <c r="P195" t="s">
        <v>36</v>
      </c>
      <c r="Q195" t="s">
        <v>63</v>
      </c>
      <c r="R195" t="s">
        <v>56</v>
      </c>
      <c r="S195">
        <f>IF(enquiry_analysis_data[[#This Row],[enquiry_status]]="Converted",1,0)</f>
        <v>0</v>
      </c>
      <c r="T195" t="s">
        <v>28</v>
      </c>
    </row>
    <row r="196" spans="1:20" x14ac:dyDescent="0.3">
      <c r="A196">
        <v>501</v>
      </c>
      <c r="B196" s="1">
        <v>45917.243472222224</v>
      </c>
      <c r="C196" s="1" t="str">
        <f>TEXT(enquiry_analysis_data[[#This Row],[enquiry_date]],"mmmm-yyyy")</f>
        <v>September-2025</v>
      </c>
      <c r="D196">
        <f>YEAR(enquiry_analysis_data[[#This Row],[enquiry_date]])</f>
        <v>2025</v>
      </c>
      <c r="E196">
        <f>MONTH(enquiry_analysis_data[[#This Row],[enquiry_date]])</f>
        <v>9</v>
      </c>
      <c r="F196" t="s">
        <v>453</v>
      </c>
      <c r="G196" t="s">
        <v>454</v>
      </c>
      <c r="H196" s="2">
        <v>9000000498</v>
      </c>
      <c r="I196" t="s">
        <v>77</v>
      </c>
      <c r="J196" t="s">
        <v>104</v>
      </c>
      <c r="K196" t="s">
        <v>105</v>
      </c>
      <c r="L196" t="s">
        <v>99</v>
      </c>
      <c r="M196" t="s">
        <v>100</v>
      </c>
      <c r="N196" t="s">
        <v>101</v>
      </c>
      <c r="O196" t="s">
        <v>42</v>
      </c>
      <c r="P196" t="s">
        <v>36</v>
      </c>
      <c r="Q196" t="s">
        <v>53</v>
      </c>
      <c r="R196" t="s">
        <v>114</v>
      </c>
      <c r="S196">
        <f>IF(enquiry_analysis_data[[#This Row],[enquiry_status]]="Converted",1,0)</f>
        <v>0</v>
      </c>
      <c r="T196" t="s">
        <v>28</v>
      </c>
    </row>
    <row r="197" spans="1:20" x14ac:dyDescent="0.3">
      <c r="A197">
        <v>460</v>
      </c>
      <c r="B197" s="1">
        <v>45918.103113425925</v>
      </c>
      <c r="C197" s="1" t="str">
        <f>TEXT(enquiry_analysis_data[[#This Row],[enquiry_date]],"mmmm-yyyy")</f>
        <v>September-2025</v>
      </c>
      <c r="D197">
        <f>YEAR(enquiry_analysis_data[[#This Row],[enquiry_date]])</f>
        <v>2025</v>
      </c>
      <c r="E197">
        <f>MONTH(enquiry_analysis_data[[#This Row],[enquiry_date]])</f>
        <v>9</v>
      </c>
      <c r="F197" t="s">
        <v>373</v>
      </c>
      <c r="G197" t="s">
        <v>455</v>
      </c>
      <c r="H197" s="2">
        <v>9000000457</v>
      </c>
      <c r="I197" t="s">
        <v>77</v>
      </c>
      <c r="J197" t="s">
        <v>49</v>
      </c>
      <c r="K197" t="s">
        <v>105</v>
      </c>
      <c r="L197" t="s">
        <v>144</v>
      </c>
      <c r="M197" t="s">
        <v>145</v>
      </c>
      <c r="N197" t="s">
        <v>101</v>
      </c>
      <c r="O197" t="s">
        <v>42</v>
      </c>
      <c r="P197" t="s">
        <v>43</v>
      </c>
      <c r="Q197" t="s">
        <v>63</v>
      </c>
      <c r="R197" t="s">
        <v>194</v>
      </c>
      <c r="S197">
        <f>IF(enquiry_analysis_data[[#This Row],[enquiry_status]]="Converted",1,0)</f>
        <v>0</v>
      </c>
      <c r="T197" t="s">
        <v>28</v>
      </c>
    </row>
    <row r="198" spans="1:20" x14ac:dyDescent="0.3">
      <c r="A198">
        <v>162</v>
      </c>
      <c r="B198" s="1">
        <v>45918.609895833331</v>
      </c>
      <c r="C198" s="1" t="str">
        <f>TEXT(enquiry_analysis_data[[#This Row],[enquiry_date]],"mmmm-yyyy")</f>
        <v>September-2025</v>
      </c>
      <c r="D198">
        <f>YEAR(enquiry_analysis_data[[#This Row],[enquiry_date]])</f>
        <v>2025</v>
      </c>
      <c r="E198">
        <f>MONTH(enquiry_analysis_data[[#This Row],[enquiry_date]])</f>
        <v>9</v>
      </c>
      <c r="F198" t="s">
        <v>456</v>
      </c>
      <c r="G198" t="s">
        <v>457</v>
      </c>
      <c r="H198" s="2">
        <v>9000000159</v>
      </c>
      <c r="I198" t="s">
        <v>48</v>
      </c>
      <c r="J198" t="s">
        <v>19</v>
      </c>
      <c r="K198" t="s">
        <v>33</v>
      </c>
      <c r="L198" t="s">
        <v>111</v>
      </c>
      <c r="M198" t="s">
        <v>112</v>
      </c>
      <c r="N198" t="s">
        <v>113</v>
      </c>
      <c r="O198" t="s">
        <v>42</v>
      </c>
      <c r="P198" t="s">
        <v>36</v>
      </c>
      <c r="Q198" t="s">
        <v>63</v>
      </c>
      <c r="R198" t="s">
        <v>68</v>
      </c>
      <c r="S198">
        <f>IF(enquiry_analysis_data[[#This Row],[enquiry_status]]="Converted",1,0)</f>
        <v>1</v>
      </c>
      <c r="T198" t="s">
        <v>28</v>
      </c>
    </row>
    <row r="199" spans="1:20" x14ac:dyDescent="0.3">
      <c r="A199">
        <v>311</v>
      </c>
      <c r="B199" s="1">
        <v>45919.574224537035</v>
      </c>
      <c r="C199" s="1" t="str">
        <f>TEXT(enquiry_analysis_data[[#This Row],[enquiry_date]],"mmmm-yyyy")</f>
        <v>September-2025</v>
      </c>
      <c r="D199">
        <f>YEAR(enquiry_analysis_data[[#This Row],[enquiry_date]])</f>
        <v>2025</v>
      </c>
      <c r="E199">
        <f>MONTH(enquiry_analysis_data[[#This Row],[enquiry_date]])</f>
        <v>9</v>
      </c>
      <c r="F199" t="s">
        <v>129</v>
      </c>
      <c r="G199" t="s">
        <v>458</v>
      </c>
      <c r="H199" s="2">
        <v>9000000308</v>
      </c>
      <c r="I199" t="s">
        <v>48</v>
      </c>
      <c r="J199" t="s">
        <v>128</v>
      </c>
      <c r="K199" t="s">
        <v>20</v>
      </c>
      <c r="L199" t="s">
        <v>50</v>
      </c>
      <c r="M199" t="s">
        <v>51</v>
      </c>
      <c r="N199" t="s">
        <v>23</v>
      </c>
      <c r="O199" t="s">
        <v>42</v>
      </c>
      <c r="P199" t="s">
        <v>25</v>
      </c>
      <c r="Q199" t="s">
        <v>138</v>
      </c>
      <c r="R199" t="s">
        <v>68</v>
      </c>
      <c r="S199">
        <f>IF(enquiry_analysis_data[[#This Row],[enquiry_status]]="Converted",1,0)</f>
        <v>1</v>
      </c>
      <c r="T199" t="s">
        <v>28</v>
      </c>
    </row>
    <row r="200" spans="1:20" x14ac:dyDescent="0.3">
      <c r="A200">
        <v>343</v>
      </c>
      <c r="B200" s="1">
        <v>45923.514907407407</v>
      </c>
      <c r="C200" s="1" t="str">
        <f>TEXT(enquiry_analysis_data[[#This Row],[enquiry_date]],"mmmm-yyyy")</f>
        <v>September-2025</v>
      </c>
      <c r="D200">
        <f>YEAR(enquiry_analysis_data[[#This Row],[enquiry_date]])</f>
        <v>2025</v>
      </c>
      <c r="E200">
        <f>MONTH(enquiry_analysis_data[[#This Row],[enquiry_date]])</f>
        <v>9</v>
      </c>
      <c r="F200" t="s">
        <v>459</v>
      </c>
      <c r="G200" t="s">
        <v>460</v>
      </c>
      <c r="H200" s="2">
        <v>9000000340</v>
      </c>
      <c r="I200" t="s">
        <v>77</v>
      </c>
      <c r="J200" t="s">
        <v>32</v>
      </c>
      <c r="K200" t="s">
        <v>33</v>
      </c>
      <c r="L200" t="s">
        <v>21</v>
      </c>
      <c r="M200" t="s">
        <v>22</v>
      </c>
      <c r="N200" t="s">
        <v>23</v>
      </c>
      <c r="O200" t="s">
        <v>42</v>
      </c>
      <c r="P200" t="s">
        <v>25</v>
      </c>
      <c r="Q200" t="s">
        <v>141</v>
      </c>
      <c r="R200" t="s">
        <v>68</v>
      </c>
      <c r="S200">
        <f>IF(enquiry_analysis_data[[#This Row],[enquiry_status]]="Converted",1,0)</f>
        <v>1</v>
      </c>
      <c r="T200" t="s">
        <v>28</v>
      </c>
    </row>
    <row r="201" spans="1:20" x14ac:dyDescent="0.3">
      <c r="A201">
        <v>333</v>
      </c>
      <c r="B201" s="1">
        <v>45924.575601851851</v>
      </c>
      <c r="C201" s="1" t="str">
        <f>TEXT(enquiry_analysis_data[[#This Row],[enquiry_date]],"mmmm-yyyy")</f>
        <v>September-2025</v>
      </c>
      <c r="D201">
        <f>YEAR(enquiry_analysis_data[[#This Row],[enquiry_date]])</f>
        <v>2025</v>
      </c>
      <c r="E201">
        <f>MONTH(enquiry_analysis_data[[#This Row],[enquiry_date]])</f>
        <v>9</v>
      </c>
      <c r="F201" t="s">
        <v>97</v>
      </c>
      <c r="G201" t="s">
        <v>461</v>
      </c>
      <c r="H201" s="2">
        <v>9000000330</v>
      </c>
      <c r="I201" t="s">
        <v>93</v>
      </c>
      <c r="J201" t="s">
        <v>128</v>
      </c>
      <c r="K201" t="s">
        <v>67</v>
      </c>
      <c r="L201" t="s">
        <v>136</v>
      </c>
      <c r="M201" t="s">
        <v>137</v>
      </c>
      <c r="N201" t="s">
        <v>62</v>
      </c>
      <c r="O201" t="s">
        <v>42</v>
      </c>
      <c r="P201" t="s">
        <v>43</v>
      </c>
      <c r="Q201" t="s">
        <v>26</v>
      </c>
      <c r="R201" t="s">
        <v>68</v>
      </c>
      <c r="S201">
        <f>IF(enquiry_analysis_data[[#This Row],[enquiry_status]]="Converted",1,0)</f>
        <v>1</v>
      </c>
      <c r="T201" t="s">
        <v>28</v>
      </c>
    </row>
    <row r="202" spans="1:20" x14ac:dyDescent="0.3">
      <c r="A202">
        <v>100</v>
      </c>
      <c r="B202" s="1">
        <v>45925.130995370368</v>
      </c>
      <c r="C202" s="1" t="str">
        <f>TEXT(enquiry_analysis_data[[#This Row],[enquiry_date]],"mmmm-yyyy")</f>
        <v>September-2025</v>
      </c>
      <c r="D202">
        <f>YEAR(enquiry_analysis_data[[#This Row],[enquiry_date]])</f>
        <v>2025</v>
      </c>
      <c r="E202">
        <f>MONTH(enquiry_analysis_data[[#This Row],[enquiry_date]])</f>
        <v>9</v>
      </c>
      <c r="F202" t="s">
        <v>462</v>
      </c>
      <c r="G202" t="s">
        <v>463</v>
      </c>
      <c r="H202" s="2">
        <v>9000000097</v>
      </c>
      <c r="I202" t="s">
        <v>88</v>
      </c>
      <c r="J202" t="s">
        <v>19</v>
      </c>
      <c r="K202" t="s">
        <v>33</v>
      </c>
      <c r="L202" t="s">
        <v>144</v>
      </c>
      <c r="M202" t="s">
        <v>145</v>
      </c>
      <c r="N202" t="s">
        <v>101</v>
      </c>
      <c r="O202" t="s">
        <v>42</v>
      </c>
      <c r="P202" t="s">
        <v>52</v>
      </c>
      <c r="Q202" t="s">
        <v>53</v>
      </c>
      <c r="R202" t="s">
        <v>27</v>
      </c>
      <c r="S202">
        <f>IF(enquiry_analysis_data[[#This Row],[enquiry_status]]="Converted",1,0)</f>
        <v>0</v>
      </c>
      <c r="T202" t="s">
        <v>28</v>
      </c>
    </row>
    <row r="203" spans="1:20" x14ac:dyDescent="0.3">
      <c r="A203">
        <v>156</v>
      </c>
      <c r="B203" s="1">
        <v>45926.449016203704</v>
      </c>
      <c r="C203" s="1" t="str">
        <f>TEXT(enquiry_analysis_data[[#This Row],[enquiry_date]],"mmmm-yyyy")</f>
        <v>September-2025</v>
      </c>
      <c r="D203">
        <f>YEAR(enquiry_analysis_data[[#This Row],[enquiry_date]])</f>
        <v>2025</v>
      </c>
      <c r="E203">
        <f>MONTH(enquiry_analysis_data[[#This Row],[enquiry_date]])</f>
        <v>9</v>
      </c>
      <c r="F203" t="s">
        <v>464</v>
      </c>
      <c r="G203" t="s">
        <v>465</v>
      </c>
      <c r="H203" s="2">
        <v>9000000153</v>
      </c>
      <c r="I203" t="s">
        <v>93</v>
      </c>
      <c r="J203" t="s">
        <v>19</v>
      </c>
      <c r="K203" t="s">
        <v>94</v>
      </c>
      <c r="L203" t="s">
        <v>106</v>
      </c>
      <c r="M203" t="s">
        <v>107</v>
      </c>
      <c r="N203" t="s">
        <v>108</v>
      </c>
      <c r="O203" t="s">
        <v>42</v>
      </c>
      <c r="P203" t="s">
        <v>52</v>
      </c>
      <c r="Q203" t="s">
        <v>26</v>
      </c>
      <c r="R203" t="s">
        <v>68</v>
      </c>
      <c r="S203">
        <f>IF(enquiry_analysis_data[[#This Row],[enquiry_status]]="Converted",1,0)</f>
        <v>1</v>
      </c>
      <c r="T203" t="s">
        <v>28</v>
      </c>
    </row>
    <row r="204" spans="1:20" x14ac:dyDescent="0.3">
      <c r="A204">
        <v>140</v>
      </c>
      <c r="B204" s="1">
        <v>45926.632233796299</v>
      </c>
      <c r="C204" s="1" t="str">
        <f>TEXT(enquiry_analysis_data[[#This Row],[enquiry_date]],"mmmm-yyyy")</f>
        <v>September-2025</v>
      </c>
      <c r="D204">
        <f>YEAR(enquiry_analysis_data[[#This Row],[enquiry_date]])</f>
        <v>2025</v>
      </c>
      <c r="E204">
        <f>MONTH(enquiry_analysis_data[[#This Row],[enquiry_date]])</f>
        <v>9</v>
      </c>
      <c r="F204" t="s">
        <v>173</v>
      </c>
      <c r="G204" t="s">
        <v>466</v>
      </c>
      <c r="H204" s="2">
        <v>9000000137</v>
      </c>
      <c r="I204" t="s">
        <v>71</v>
      </c>
      <c r="J204" t="s">
        <v>128</v>
      </c>
      <c r="K204" t="s">
        <v>67</v>
      </c>
      <c r="L204" t="s">
        <v>117</v>
      </c>
      <c r="M204" t="s">
        <v>118</v>
      </c>
      <c r="N204" t="s">
        <v>119</v>
      </c>
      <c r="O204" t="s">
        <v>42</v>
      </c>
      <c r="P204" t="s">
        <v>52</v>
      </c>
      <c r="Q204" t="s">
        <v>26</v>
      </c>
      <c r="R204" t="s">
        <v>56</v>
      </c>
      <c r="S204">
        <f>IF(enquiry_analysis_data[[#This Row],[enquiry_status]]="Converted",1,0)</f>
        <v>0</v>
      </c>
      <c r="T204" t="s">
        <v>28</v>
      </c>
    </row>
    <row r="205" spans="1:20" x14ac:dyDescent="0.3">
      <c r="A205">
        <v>337</v>
      </c>
      <c r="B205" s="1">
        <v>45926.926562499997</v>
      </c>
      <c r="C205" s="1" t="str">
        <f>TEXT(enquiry_analysis_data[[#This Row],[enquiry_date]],"mmmm-yyyy")</f>
        <v>September-2025</v>
      </c>
      <c r="D205">
        <f>YEAR(enquiry_analysis_data[[#This Row],[enquiry_date]])</f>
        <v>2025</v>
      </c>
      <c r="E205">
        <f>MONTH(enquiry_analysis_data[[#This Row],[enquiry_date]])</f>
        <v>9</v>
      </c>
      <c r="F205" t="s">
        <v>467</v>
      </c>
      <c r="G205" t="s">
        <v>468</v>
      </c>
      <c r="H205" s="2">
        <v>9000000334</v>
      </c>
      <c r="I205" t="s">
        <v>71</v>
      </c>
      <c r="J205" t="s">
        <v>128</v>
      </c>
      <c r="K205" t="s">
        <v>67</v>
      </c>
      <c r="L205" t="s">
        <v>245</v>
      </c>
      <c r="M205" t="s">
        <v>246</v>
      </c>
      <c r="N205" t="s">
        <v>156</v>
      </c>
      <c r="O205" t="s">
        <v>24</v>
      </c>
      <c r="P205" t="s">
        <v>52</v>
      </c>
      <c r="Q205" t="s">
        <v>138</v>
      </c>
      <c r="R205" t="s">
        <v>114</v>
      </c>
      <c r="S205">
        <f>IF(enquiry_analysis_data[[#This Row],[enquiry_status]]="Converted",1,0)</f>
        <v>0</v>
      </c>
      <c r="T205" t="s">
        <v>28</v>
      </c>
    </row>
    <row r="206" spans="1:20" x14ac:dyDescent="0.3">
      <c r="A206">
        <v>95</v>
      </c>
      <c r="B206" s="1">
        <v>45929.742789351854</v>
      </c>
      <c r="C206" s="1" t="str">
        <f>TEXT(enquiry_analysis_data[[#This Row],[enquiry_date]],"mmmm-yyyy")</f>
        <v>September-2025</v>
      </c>
      <c r="D206">
        <f>YEAR(enquiry_analysis_data[[#This Row],[enquiry_date]])</f>
        <v>2025</v>
      </c>
      <c r="E206">
        <f>MONTH(enquiry_analysis_data[[#This Row],[enquiry_date]])</f>
        <v>9</v>
      </c>
      <c r="F206" t="s">
        <v>383</v>
      </c>
      <c r="G206" t="s">
        <v>469</v>
      </c>
      <c r="H206" s="2">
        <v>9000000092</v>
      </c>
      <c r="I206" t="s">
        <v>77</v>
      </c>
      <c r="J206" t="s">
        <v>19</v>
      </c>
      <c r="K206" t="s">
        <v>20</v>
      </c>
      <c r="L206" t="s">
        <v>144</v>
      </c>
      <c r="M206" t="s">
        <v>145</v>
      </c>
      <c r="N206" t="s">
        <v>101</v>
      </c>
      <c r="O206" t="s">
        <v>42</v>
      </c>
      <c r="P206" t="s">
        <v>36</v>
      </c>
      <c r="Q206" t="s">
        <v>53</v>
      </c>
      <c r="R206" t="s">
        <v>45</v>
      </c>
      <c r="S206">
        <f>IF(enquiry_analysis_data[[#This Row],[enquiry_status]]="Converted",1,0)</f>
        <v>0</v>
      </c>
      <c r="T206" t="s">
        <v>28</v>
      </c>
    </row>
    <row r="207" spans="1:20" x14ac:dyDescent="0.3">
      <c r="A207">
        <v>420</v>
      </c>
      <c r="B207" s="1">
        <v>45931.07503472222</v>
      </c>
      <c r="C207" s="1" t="str">
        <f>TEXT(enquiry_analysis_data[[#This Row],[enquiry_date]],"mmmm-yyyy")</f>
        <v>October-2025</v>
      </c>
      <c r="D207">
        <f>YEAR(enquiry_analysis_data[[#This Row],[enquiry_date]])</f>
        <v>2025</v>
      </c>
      <c r="E207">
        <f>MONTH(enquiry_analysis_data[[#This Row],[enquiry_date]])</f>
        <v>10</v>
      </c>
      <c r="F207" t="s">
        <v>470</v>
      </c>
      <c r="G207" t="s">
        <v>471</v>
      </c>
      <c r="H207" s="2">
        <v>9000000417</v>
      </c>
      <c r="I207" t="s">
        <v>59</v>
      </c>
      <c r="J207" t="s">
        <v>104</v>
      </c>
      <c r="K207" t="s">
        <v>105</v>
      </c>
      <c r="L207" t="s">
        <v>50</v>
      </c>
      <c r="M207" t="s">
        <v>51</v>
      </c>
      <c r="N207" t="s">
        <v>23</v>
      </c>
      <c r="O207" t="s">
        <v>24</v>
      </c>
      <c r="P207" t="s">
        <v>25</v>
      </c>
      <c r="Q207" t="s">
        <v>26</v>
      </c>
      <c r="R207" t="s">
        <v>194</v>
      </c>
      <c r="S207">
        <f>IF(enquiry_analysis_data[[#This Row],[enquiry_status]]="Converted",1,0)</f>
        <v>0</v>
      </c>
      <c r="T207" t="s">
        <v>28</v>
      </c>
    </row>
    <row r="208" spans="1:20" x14ac:dyDescent="0.3">
      <c r="A208">
        <v>116</v>
      </c>
      <c r="B208" s="1">
        <v>45932.415312500001</v>
      </c>
      <c r="C208" s="1" t="str">
        <f>TEXT(enquiry_analysis_data[[#This Row],[enquiry_date]],"mmmm-yyyy")</f>
        <v>October-2025</v>
      </c>
      <c r="D208">
        <f>YEAR(enquiry_analysis_data[[#This Row],[enquiry_date]])</f>
        <v>2025</v>
      </c>
      <c r="E208">
        <f>MONTH(enquiry_analysis_data[[#This Row],[enquiry_date]])</f>
        <v>10</v>
      </c>
      <c r="F208" t="s">
        <v>472</v>
      </c>
      <c r="G208" t="s">
        <v>473</v>
      </c>
      <c r="H208" s="2">
        <v>9000000113</v>
      </c>
      <c r="I208" t="s">
        <v>66</v>
      </c>
      <c r="J208" t="s">
        <v>19</v>
      </c>
      <c r="K208" t="s">
        <v>33</v>
      </c>
      <c r="L208" t="s">
        <v>72</v>
      </c>
      <c r="M208" t="s">
        <v>73</v>
      </c>
      <c r="N208" t="s">
        <v>74</v>
      </c>
      <c r="O208" t="s">
        <v>24</v>
      </c>
      <c r="P208" t="s">
        <v>52</v>
      </c>
      <c r="Q208" t="s">
        <v>83</v>
      </c>
      <c r="R208" t="s">
        <v>27</v>
      </c>
      <c r="S208">
        <f>IF(enquiry_analysis_data[[#This Row],[enquiry_status]]="Converted",1,0)</f>
        <v>0</v>
      </c>
      <c r="T208" t="s">
        <v>28</v>
      </c>
    </row>
    <row r="209" spans="1:20" x14ac:dyDescent="0.3">
      <c r="A209">
        <v>275</v>
      </c>
      <c r="B209" s="1">
        <v>45936.001331018517</v>
      </c>
      <c r="C209" s="1" t="str">
        <f>TEXT(enquiry_analysis_data[[#This Row],[enquiry_date]],"mmmm-yyyy")</f>
        <v>October-2025</v>
      </c>
      <c r="D209">
        <f>YEAR(enquiry_analysis_data[[#This Row],[enquiry_date]])</f>
        <v>2025</v>
      </c>
      <c r="E209">
        <f>MONTH(enquiry_analysis_data[[#This Row],[enquiry_date]])</f>
        <v>10</v>
      </c>
      <c r="F209" t="s">
        <v>474</v>
      </c>
      <c r="G209" t="s">
        <v>475</v>
      </c>
      <c r="H209" s="2">
        <v>9000000272</v>
      </c>
      <c r="I209" t="s">
        <v>59</v>
      </c>
      <c r="J209" t="s">
        <v>37</v>
      </c>
      <c r="K209" t="s">
        <v>94</v>
      </c>
      <c r="L209" t="s">
        <v>154</v>
      </c>
      <c r="M209" t="s">
        <v>155</v>
      </c>
      <c r="N209" t="s">
        <v>156</v>
      </c>
      <c r="O209" t="s">
        <v>24</v>
      </c>
      <c r="P209" t="s">
        <v>52</v>
      </c>
      <c r="Q209" t="s">
        <v>53</v>
      </c>
      <c r="R209" t="s">
        <v>68</v>
      </c>
      <c r="S209">
        <f>IF(enquiry_analysis_data[[#This Row],[enquiry_status]]="Converted",1,0)</f>
        <v>1</v>
      </c>
      <c r="T209" t="s">
        <v>28</v>
      </c>
    </row>
    <row r="210" spans="1:20" x14ac:dyDescent="0.3">
      <c r="A210">
        <v>335</v>
      </c>
      <c r="B210" s="1">
        <v>45936.907002314816</v>
      </c>
      <c r="C210" s="1" t="str">
        <f>TEXT(enquiry_analysis_data[[#This Row],[enquiry_date]],"mmmm-yyyy")</f>
        <v>October-2025</v>
      </c>
      <c r="D210">
        <f>YEAR(enquiry_analysis_data[[#This Row],[enquiry_date]])</f>
        <v>2025</v>
      </c>
      <c r="E210">
        <f>MONTH(enquiry_analysis_data[[#This Row],[enquiry_date]])</f>
        <v>10</v>
      </c>
      <c r="F210" t="s">
        <v>476</v>
      </c>
      <c r="G210" t="s">
        <v>477</v>
      </c>
      <c r="H210" s="2">
        <v>9000000332</v>
      </c>
      <c r="I210" t="s">
        <v>59</v>
      </c>
      <c r="J210" t="s">
        <v>49</v>
      </c>
      <c r="K210" t="s">
        <v>33</v>
      </c>
      <c r="L210" t="s">
        <v>144</v>
      </c>
      <c r="M210" t="s">
        <v>145</v>
      </c>
      <c r="N210" t="s">
        <v>101</v>
      </c>
      <c r="O210" t="s">
        <v>42</v>
      </c>
      <c r="P210" t="s">
        <v>43</v>
      </c>
      <c r="Q210" t="s">
        <v>63</v>
      </c>
      <c r="R210" t="s">
        <v>68</v>
      </c>
      <c r="S210">
        <f>IF(enquiry_analysis_data[[#This Row],[enquiry_status]]="Converted",1,0)</f>
        <v>1</v>
      </c>
      <c r="T210" t="s">
        <v>28</v>
      </c>
    </row>
    <row r="211" spans="1:20" x14ac:dyDescent="0.3">
      <c r="A211">
        <v>305</v>
      </c>
      <c r="B211" s="1">
        <v>45938.286597222221</v>
      </c>
      <c r="C211" s="1" t="str">
        <f>TEXT(enquiry_analysis_data[[#This Row],[enquiry_date]],"mmmm-yyyy")</f>
        <v>October-2025</v>
      </c>
      <c r="D211">
        <f>YEAR(enquiry_analysis_data[[#This Row],[enquiry_date]])</f>
        <v>2025</v>
      </c>
      <c r="E211">
        <f>MONTH(enquiry_analysis_data[[#This Row],[enquiry_date]])</f>
        <v>10</v>
      </c>
      <c r="F211" t="s">
        <v>478</v>
      </c>
      <c r="G211" t="s">
        <v>479</v>
      </c>
      <c r="H211" s="2">
        <v>9000000302</v>
      </c>
      <c r="I211" t="s">
        <v>66</v>
      </c>
      <c r="J211" t="s">
        <v>104</v>
      </c>
      <c r="K211" t="s">
        <v>105</v>
      </c>
      <c r="L211" t="s">
        <v>21</v>
      </c>
      <c r="M211" t="s">
        <v>22</v>
      </c>
      <c r="N211" t="s">
        <v>23</v>
      </c>
      <c r="O211" t="s">
        <v>42</v>
      </c>
      <c r="P211" t="s">
        <v>43</v>
      </c>
      <c r="Q211" t="s">
        <v>138</v>
      </c>
      <c r="R211" t="s">
        <v>45</v>
      </c>
      <c r="S211">
        <f>IF(enquiry_analysis_data[[#This Row],[enquiry_status]]="Converted",1,0)</f>
        <v>0</v>
      </c>
      <c r="T211" t="s">
        <v>28</v>
      </c>
    </row>
    <row r="212" spans="1:20" x14ac:dyDescent="0.3">
      <c r="A212">
        <v>47</v>
      </c>
      <c r="B212" s="1">
        <v>45939.377326388887</v>
      </c>
      <c r="C212" s="1" t="str">
        <f>TEXT(enquiry_analysis_data[[#This Row],[enquiry_date]],"mmmm-yyyy")</f>
        <v>October-2025</v>
      </c>
      <c r="D212">
        <f>YEAR(enquiry_analysis_data[[#This Row],[enquiry_date]])</f>
        <v>2025</v>
      </c>
      <c r="E212">
        <f>MONTH(enquiry_analysis_data[[#This Row],[enquiry_date]])</f>
        <v>10</v>
      </c>
      <c r="F212" t="s">
        <v>480</v>
      </c>
      <c r="G212" t="s">
        <v>481</v>
      </c>
      <c r="H212" s="2">
        <v>9000000044</v>
      </c>
      <c r="I212" t="s">
        <v>59</v>
      </c>
      <c r="J212" t="s">
        <v>49</v>
      </c>
      <c r="K212" t="s">
        <v>105</v>
      </c>
      <c r="L212" t="s">
        <v>154</v>
      </c>
      <c r="M212" t="s">
        <v>155</v>
      </c>
      <c r="N212" t="s">
        <v>156</v>
      </c>
      <c r="O212" t="s">
        <v>42</v>
      </c>
      <c r="P212" t="s">
        <v>52</v>
      </c>
      <c r="Q212" t="s">
        <v>53</v>
      </c>
      <c r="R212" t="s">
        <v>45</v>
      </c>
      <c r="S212">
        <f>IF(enquiry_analysis_data[[#This Row],[enquiry_status]]="Converted",1,0)</f>
        <v>0</v>
      </c>
      <c r="T212" t="s">
        <v>28</v>
      </c>
    </row>
    <row r="213" spans="1:20" x14ac:dyDescent="0.3">
      <c r="A213">
        <v>101</v>
      </c>
      <c r="B213" s="1">
        <v>45941.022893518515</v>
      </c>
      <c r="C213" s="1" t="str">
        <f>TEXT(enquiry_analysis_data[[#This Row],[enquiry_date]],"mmmm-yyyy")</f>
        <v>October-2025</v>
      </c>
      <c r="D213">
        <f>YEAR(enquiry_analysis_data[[#This Row],[enquiry_date]])</f>
        <v>2025</v>
      </c>
      <c r="E213">
        <f>MONTH(enquiry_analysis_data[[#This Row],[enquiry_date]])</f>
        <v>10</v>
      </c>
      <c r="F213" t="s">
        <v>482</v>
      </c>
      <c r="G213" t="s">
        <v>483</v>
      </c>
      <c r="H213" s="2">
        <v>9000000098</v>
      </c>
      <c r="I213" t="s">
        <v>77</v>
      </c>
      <c r="J213" t="s">
        <v>32</v>
      </c>
      <c r="K213" t="s">
        <v>33</v>
      </c>
      <c r="L213" t="s">
        <v>78</v>
      </c>
      <c r="M213" t="s">
        <v>79</v>
      </c>
      <c r="N213" t="s">
        <v>80</v>
      </c>
      <c r="O213" t="s">
        <v>42</v>
      </c>
      <c r="P213" t="s">
        <v>43</v>
      </c>
      <c r="Q213" t="s">
        <v>141</v>
      </c>
      <c r="R213" t="s">
        <v>68</v>
      </c>
      <c r="S213">
        <f>IF(enquiry_analysis_data[[#This Row],[enquiry_status]]="Converted",1,0)</f>
        <v>1</v>
      </c>
      <c r="T213" t="s">
        <v>28</v>
      </c>
    </row>
    <row r="214" spans="1:20" x14ac:dyDescent="0.3">
      <c r="A214">
        <v>107</v>
      </c>
      <c r="B214" s="1">
        <v>45941.334710648145</v>
      </c>
      <c r="C214" s="1" t="str">
        <f>TEXT(enquiry_analysis_data[[#This Row],[enquiry_date]],"mmmm-yyyy")</f>
        <v>October-2025</v>
      </c>
      <c r="D214">
        <f>YEAR(enquiry_analysis_data[[#This Row],[enquiry_date]])</f>
        <v>2025</v>
      </c>
      <c r="E214">
        <f>MONTH(enquiry_analysis_data[[#This Row],[enquiry_date]])</f>
        <v>10</v>
      </c>
      <c r="F214" t="s">
        <v>484</v>
      </c>
      <c r="G214" t="s">
        <v>485</v>
      </c>
      <c r="H214" s="2">
        <v>9000000104</v>
      </c>
      <c r="I214" t="s">
        <v>66</v>
      </c>
      <c r="J214" t="s">
        <v>32</v>
      </c>
      <c r="K214" t="s">
        <v>33</v>
      </c>
      <c r="L214" t="s">
        <v>34</v>
      </c>
      <c r="M214" t="s">
        <v>35</v>
      </c>
      <c r="N214" t="s">
        <v>35</v>
      </c>
      <c r="O214" t="s">
        <v>42</v>
      </c>
      <c r="P214" t="s">
        <v>43</v>
      </c>
      <c r="Q214" t="s">
        <v>53</v>
      </c>
      <c r="R214" t="s">
        <v>68</v>
      </c>
      <c r="S214">
        <f>IF(enquiry_analysis_data[[#This Row],[enquiry_status]]="Converted",1,0)</f>
        <v>1</v>
      </c>
      <c r="T214" t="s">
        <v>28</v>
      </c>
    </row>
    <row r="215" spans="1:20" x14ac:dyDescent="0.3">
      <c r="A215">
        <v>64</v>
      </c>
      <c r="B215" s="1">
        <v>45941.771087962959</v>
      </c>
      <c r="C215" s="1" t="str">
        <f>TEXT(enquiry_analysis_data[[#This Row],[enquiry_date]],"mmmm-yyyy")</f>
        <v>October-2025</v>
      </c>
      <c r="D215">
        <f>YEAR(enquiry_analysis_data[[#This Row],[enquiry_date]])</f>
        <v>2025</v>
      </c>
      <c r="E215">
        <f>MONTH(enquiry_analysis_data[[#This Row],[enquiry_date]])</f>
        <v>10</v>
      </c>
      <c r="F215" t="s">
        <v>277</v>
      </c>
      <c r="G215" t="s">
        <v>486</v>
      </c>
      <c r="H215" s="2">
        <v>9000000061</v>
      </c>
      <c r="I215" t="s">
        <v>93</v>
      </c>
      <c r="J215" t="s">
        <v>49</v>
      </c>
      <c r="K215" t="s">
        <v>33</v>
      </c>
      <c r="L215" t="s">
        <v>72</v>
      </c>
      <c r="M215" t="s">
        <v>73</v>
      </c>
      <c r="N215" t="s">
        <v>74</v>
      </c>
      <c r="O215" t="s">
        <v>42</v>
      </c>
      <c r="P215" t="s">
        <v>25</v>
      </c>
      <c r="Q215" t="s">
        <v>141</v>
      </c>
      <c r="R215" t="s">
        <v>45</v>
      </c>
      <c r="S215">
        <f>IF(enquiry_analysis_data[[#This Row],[enquiry_status]]="Converted",1,0)</f>
        <v>0</v>
      </c>
      <c r="T215" t="s">
        <v>28</v>
      </c>
    </row>
    <row r="216" spans="1:20" x14ac:dyDescent="0.3">
      <c r="A216">
        <v>65</v>
      </c>
      <c r="B216" s="1">
        <v>45942.544942129629</v>
      </c>
      <c r="C216" s="1" t="str">
        <f>TEXT(enquiry_analysis_data[[#This Row],[enquiry_date]],"mmmm-yyyy")</f>
        <v>October-2025</v>
      </c>
      <c r="D216">
        <f>YEAR(enquiry_analysis_data[[#This Row],[enquiry_date]])</f>
        <v>2025</v>
      </c>
      <c r="E216">
        <f>MONTH(enquiry_analysis_data[[#This Row],[enquiry_date]])</f>
        <v>10</v>
      </c>
      <c r="F216" t="s">
        <v>139</v>
      </c>
      <c r="G216" t="s">
        <v>487</v>
      </c>
      <c r="H216" s="2">
        <v>9000000062</v>
      </c>
      <c r="I216" t="s">
        <v>18</v>
      </c>
      <c r="J216" t="s">
        <v>19</v>
      </c>
      <c r="K216" t="s">
        <v>67</v>
      </c>
      <c r="L216" t="s">
        <v>111</v>
      </c>
      <c r="M216" t="s">
        <v>112</v>
      </c>
      <c r="N216" t="s">
        <v>113</v>
      </c>
      <c r="O216" t="s">
        <v>42</v>
      </c>
      <c r="P216" t="s">
        <v>36</v>
      </c>
      <c r="Q216" t="s">
        <v>26</v>
      </c>
      <c r="R216" t="s">
        <v>68</v>
      </c>
      <c r="S216">
        <f>IF(enquiry_analysis_data[[#This Row],[enquiry_status]]="Converted",1,0)</f>
        <v>1</v>
      </c>
      <c r="T216" t="s">
        <v>28</v>
      </c>
    </row>
    <row r="217" spans="1:20" x14ac:dyDescent="0.3">
      <c r="A217">
        <v>415</v>
      </c>
      <c r="B217" s="1">
        <v>45942.596689814818</v>
      </c>
      <c r="C217" s="1" t="str">
        <f>TEXT(enquiry_analysis_data[[#This Row],[enquiry_date]],"mmmm-yyyy")</f>
        <v>October-2025</v>
      </c>
      <c r="D217">
        <f>YEAR(enquiry_analysis_data[[#This Row],[enquiry_date]])</f>
        <v>2025</v>
      </c>
      <c r="E217">
        <f>MONTH(enquiry_analysis_data[[#This Row],[enquiry_date]])</f>
        <v>10</v>
      </c>
      <c r="F217" t="s">
        <v>488</v>
      </c>
      <c r="G217" t="s">
        <v>489</v>
      </c>
      <c r="H217" s="2">
        <v>9000000412</v>
      </c>
      <c r="I217" t="s">
        <v>93</v>
      </c>
      <c r="J217" t="s">
        <v>19</v>
      </c>
      <c r="K217" t="s">
        <v>94</v>
      </c>
      <c r="L217" t="s">
        <v>136</v>
      </c>
      <c r="M217" t="s">
        <v>137</v>
      </c>
      <c r="N217" t="s">
        <v>62</v>
      </c>
      <c r="O217" t="s">
        <v>24</v>
      </c>
      <c r="P217" t="s">
        <v>43</v>
      </c>
      <c r="Q217" t="s">
        <v>141</v>
      </c>
      <c r="R217" t="s">
        <v>68</v>
      </c>
      <c r="S217">
        <f>IF(enquiry_analysis_data[[#This Row],[enquiry_status]]="Converted",1,0)</f>
        <v>1</v>
      </c>
      <c r="T217" t="s">
        <v>28</v>
      </c>
    </row>
    <row r="218" spans="1:20" x14ac:dyDescent="0.3">
      <c r="A218">
        <v>254</v>
      </c>
      <c r="B218" s="1">
        <v>45943.966539351852</v>
      </c>
      <c r="C218" s="1" t="str">
        <f>TEXT(enquiry_analysis_data[[#This Row],[enquiry_date]],"mmmm-yyyy")</f>
        <v>October-2025</v>
      </c>
      <c r="D218">
        <f>YEAR(enquiry_analysis_data[[#This Row],[enquiry_date]])</f>
        <v>2025</v>
      </c>
      <c r="E218">
        <f>MONTH(enquiry_analysis_data[[#This Row],[enquiry_date]])</f>
        <v>10</v>
      </c>
      <c r="F218" t="s">
        <v>490</v>
      </c>
      <c r="G218" t="s">
        <v>491</v>
      </c>
      <c r="H218" s="2">
        <v>9000000251</v>
      </c>
      <c r="I218" t="s">
        <v>93</v>
      </c>
      <c r="J218" t="s">
        <v>19</v>
      </c>
      <c r="K218" t="s">
        <v>67</v>
      </c>
      <c r="L218" t="s">
        <v>78</v>
      </c>
      <c r="M218" t="s">
        <v>79</v>
      </c>
      <c r="N218" t="s">
        <v>80</v>
      </c>
      <c r="O218" t="s">
        <v>24</v>
      </c>
      <c r="P218" t="s">
        <v>52</v>
      </c>
      <c r="Q218" t="s">
        <v>53</v>
      </c>
      <c r="R218" t="s">
        <v>56</v>
      </c>
      <c r="S218">
        <f>IF(enquiry_analysis_data[[#This Row],[enquiry_status]]="Converted",1,0)</f>
        <v>0</v>
      </c>
      <c r="T218" t="s">
        <v>28</v>
      </c>
    </row>
    <row r="219" spans="1:20" x14ac:dyDescent="0.3">
      <c r="A219">
        <v>495</v>
      </c>
      <c r="B219" s="1">
        <v>45944.651331018518</v>
      </c>
      <c r="C219" s="1" t="str">
        <f>TEXT(enquiry_analysis_data[[#This Row],[enquiry_date]],"mmmm-yyyy")</f>
        <v>October-2025</v>
      </c>
      <c r="D219">
        <f>YEAR(enquiry_analysis_data[[#This Row],[enquiry_date]])</f>
        <v>2025</v>
      </c>
      <c r="E219">
        <f>MONTH(enquiry_analysis_data[[#This Row],[enquiry_date]])</f>
        <v>10</v>
      </c>
      <c r="F219" t="s">
        <v>492</v>
      </c>
      <c r="G219" t="s">
        <v>493</v>
      </c>
      <c r="H219" s="2">
        <v>9000000492</v>
      </c>
      <c r="I219" t="s">
        <v>71</v>
      </c>
      <c r="J219" t="s">
        <v>32</v>
      </c>
      <c r="K219" t="s">
        <v>67</v>
      </c>
      <c r="L219" t="s">
        <v>136</v>
      </c>
      <c r="M219" t="s">
        <v>137</v>
      </c>
      <c r="N219" t="s">
        <v>62</v>
      </c>
      <c r="O219" t="s">
        <v>42</v>
      </c>
      <c r="P219" t="s">
        <v>52</v>
      </c>
      <c r="Q219" t="s">
        <v>26</v>
      </c>
      <c r="R219" t="s">
        <v>68</v>
      </c>
      <c r="S219">
        <f>IF(enquiry_analysis_data[[#This Row],[enquiry_status]]="Converted",1,0)</f>
        <v>1</v>
      </c>
      <c r="T219" t="s">
        <v>28</v>
      </c>
    </row>
    <row r="220" spans="1:20" x14ac:dyDescent="0.3">
      <c r="A220">
        <v>316</v>
      </c>
      <c r="B220" s="1">
        <v>45947.06927083333</v>
      </c>
      <c r="C220" s="1" t="str">
        <f>TEXT(enquiry_analysis_data[[#This Row],[enquiry_date]],"mmmm-yyyy")</f>
        <v>October-2025</v>
      </c>
      <c r="D220">
        <f>YEAR(enquiry_analysis_data[[#This Row],[enquiry_date]])</f>
        <v>2025</v>
      </c>
      <c r="E220">
        <f>MONTH(enquiry_analysis_data[[#This Row],[enquiry_date]])</f>
        <v>10</v>
      </c>
      <c r="F220" t="s">
        <v>494</v>
      </c>
      <c r="G220" t="s">
        <v>495</v>
      </c>
      <c r="H220" s="2">
        <v>9000000313</v>
      </c>
      <c r="I220" t="s">
        <v>48</v>
      </c>
      <c r="J220" t="s">
        <v>19</v>
      </c>
      <c r="K220" t="s">
        <v>67</v>
      </c>
      <c r="L220" t="s">
        <v>136</v>
      </c>
      <c r="M220" t="s">
        <v>137</v>
      </c>
      <c r="N220" t="s">
        <v>62</v>
      </c>
      <c r="O220" t="s">
        <v>42</v>
      </c>
      <c r="P220" t="s">
        <v>52</v>
      </c>
      <c r="Q220" t="s">
        <v>83</v>
      </c>
      <c r="R220" t="s">
        <v>45</v>
      </c>
      <c r="S220">
        <f>IF(enquiry_analysis_data[[#This Row],[enquiry_status]]="Converted",1,0)</f>
        <v>0</v>
      </c>
      <c r="T220" t="s">
        <v>28</v>
      </c>
    </row>
    <row r="221" spans="1:20" x14ac:dyDescent="0.3">
      <c r="A221">
        <v>112</v>
      </c>
      <c r="B221" s="1">
        <v>45949.578275462962</v>
      </c>
      <c r="C221" s="1" t="str">
        <f>TEXT(enquiry_analysis_data[[#This Row],[enquiry_date]],"mmmm-yyyy")</f>
        <v>October-2025</v>
      </c>
      <c r="D221">
        <f>YEAR(enquiry_analysis_data[[#This Row],[enquiry_date]])</f>
        <v>2025</v>
      </c>
      <c r="E221">
        <f>MONTH(enquiry_analysis_data[[#This Row],[enquiry_date]])</f>
        <v>10</v>
      </c>
      <c r="F221" t="s">
        <v>175</v>
      </c>
      <c r="G221" t="s">
        <v>496</v>
      </c>
      <c r="H221" s="2">
        <v>9000000109</v>
      </c>
      <c r="I221" t="s">
        <v>66</v>
      </c>
      <c r="J221" t="s">
        <v>49</v>
      </c>
      <c r="K221" t="s">
        <v>33</v>
      </c>
      <c r="L221" t="s">
        <v>50</v>
      </c>
      <c r="M221" t="s">
        <v>51</v>
      </c>
      <c r="N221" t="s">
        <v>23</v>
      </c>
      <c r="O221" t="s">
        <v>24</v>
      </c>
      <c r="P221" t="s">
        <v>25</v>
      </c>
      <c r="Q221" t="s">
        <v>141</v>
      </c>
      <c r="R221" t="s">
        <v>45</v>
      </c>
      <c r="S221">
        <f>IF(enquiry_analysis_data[[#This Row],[enquiry_status]]="Converted",1,0)</f>
        <v>0</v>
      </c>
      <c r="T221" t="s">
        <v>28</v>
      </c>
    </row>
    <row r="222" spans="1:20" x14ac:dyDescent="0.3">
      <c r="A222">
        <v>24</v>
      </c>
      <c r="B222" s="1">
        <v>45949.884525462963</v>
      </c>
      <c r="C222" s="1" t="str">
        <f>TEXT(enquiry_analysis_data[[#This Row],[enquiry_date]],"mmmm-yyyy")</f>
        <v>October-2025</v>
      </c>
      <c r="D222">
        <f>YEAR(enquiry_analysis_data[[#This Row],[enquiry_date]])</f>
        <v>2025</v>
      </c>
      <c r="E222">
        <f>MONTH(enquiry_analysis_data[[#This Row],[enquiry_date]])</f>
        <v>10</v>
      </c>
      <c r="F222" t="s">
        <v>409</v>
      </c>
      <c r="G222" t="s">
        <v>497</v>
      </c>
      <c r="H222" s="2">
        <v>9000000021</v>
      </c>
      <c r="I222" t="s">
        <v>71</v>
      </c>
      <c r="J222" t="s">
        <v>19</v>
      </c>
      <c r="K222" t="s">
        <v>20</v>
      </c>
      <c r="L222" t="s">
        <v>99</v>
      </c>
      <c r="M222" t="s">
        <v>100</v>
      </c>
      <c r="N222" t="s">
        <v>101</v>
      </c>
      <c r="O222" t="s">
        <v>42</v>
      </c>
      <c r="P222" t="s">
        <v>52</v>
      </c>
      <c r="Q222" t="s">
        <v>138</v>
      </c>
      <c r="R222" t="s">
        <v>68</v>
      </c>
      <c r="S222">
        <f>IF(enquiry_analysis_data[[#This Row],[enquiry_status]]="Converted",1,0)</f>
        <v>1</v>
      </c>
      <c r="T222" t="s">
        <v>28</v>
      </c>
    </row>
    <row r="223" spans="1:20" x14ac:dyDescent="0.3">
      <c r="A223">
        <v>260</v>
      </c>
      <c r="B223" s="1">
        <v>45950.636296296296</v>
      </c>
      <c r="C223" s="1" t="str">
        <f>TEXT(enquiry_analysis_data[[#This Row],[enquiry_date]],"mmmm-yyyy")</f>
        <v>October-2025</v>
      </c>
      <c r="D223">
        <f>YEAR(enquiry_analysis_data[[#This Row],[enquiry_date]])</f>
        <v>2025</v>
      </c>
      <c r="E223">
        <f>MONTH(enquiry_analysis_data[[#This Row],[enquiry_date]])</f>
        <v>10</v>
      </c>
      <c r="F223" t="s">
        <v>498</v>
      </c>
      <c r="G223" t="s">
        <v>499</v>
      </c>
      <c r="H223" s="2">
        <v>9000000257</v>
      </c>
      <c r="I223" t="s">
        <v>48</v>
      </c>
      <c r="J223" t="s">
        <v>104</v>
      </c>
      <c r="K223" t="s">
        <v>105</v>
      </c>
      <c r="L223" t="s">
        <v>99</v>
      </c>
      <c r="M223" t="s">
        <v>100</v>
      </c>
      <c r="N223" t="s">
        <v>101</v>
      </c>
      <c r="O223" t="s">
        <v>42</v>
      </c>
      <c r="P223" t="s">
        <v>43</v>
      </c>
      <c r="Q223" t="s">
        <v>83</v>
      </c>
      <c r="R223" t="s">
        <v>56</v>
      </c>
      <c r="S223">
        <f>IF(enquiry_analysis_data[[#This Row],[enquiry_status]]="Converted",1,0)</f>
        <v>0</v>
      </c>
      <c r="T223" t="s">
        <v>28</v>
      </c>
    </row>
    <row r="224" spans="1:20" x14ac:dyDescent="0.3">
      <c r="A224">
        <v>390</v>
      </c>
      <c r="B224" s="1">
        <v>45952.140439814815</v>
      </c>
      <c r="C224" s="1" t="str">
        <f>TEXT(enquiry_analysis_data[[#This Row],[enquiry_date]],"mmmm-yyyy")</f>
        <v>October-2025</v>
      </c>
      <c r="D224">
        <f>YEAR(enquiry_analysis_data[[#This Row],[enquiry_date]])</f>
        <v>2025</v>
      </c>
      <c r="E224">
        <f>MONTH(enquiry_analysis_data[[#This Row],[enquiry_date]])</f>
        <v>10</v>
      </c>
      <c r="F224" t="s">
        <v>500</v>
      </c>
      <c r="G224" t="s">
        <v>501</v>
      </c>
      <c r="H224" s="2">
        <v>9000000387</v>
      </c>
      <c r="I224" t="s">
        <v>71</v>
      </c>
      <c r="J224" t="s">
        <v>128</v>
      </c>
      <c r="K224" t="s">
        <v>33</v>
      </c>
      <c r="L224" t="s">
        <v>40</v>
      </c>
      <c r="M224" t="s">
        <v>41</v>
      </c>
      <c r="N224" t="s">
        <v>41</v>
      </c>
      <c r="O224" t="s">
        <v>24</v>
      </c>
      <c r="P224" t="s">
        <v>36</v>
      </c>
      <c r="Q224" t="s">
        <v>83</v>
      </c>
      <c r="R224" t="s">
        <v>68</v>
      </c>
      <c r="S224">
        <f>IF(enquiry_analysis_data[[#This Row],[enquiry_status]]="Converted",1,0)</f>
        <v>1</v>
      </c>
      <c r="T224" t="s">
        <v>28</v>
      </c>
    </row>
    <row r="225" spans="1:20" x14ac:dyDescent="0.3">
      <c r="A225">
        <v>339</v>
      </c>
      <c r="B225" s="1">
        <v>45952.471504629626</v>
      </c>
      <c r="C225" s="1" t="str">
        <f>TEXT(enquiry_analysis_data[[#This Row],[enquiry_date]],"mmmm-yyyy")</f>
        <v>October-2025</v>
      </c>
      <c r="D225">
        <f>YEAR(enquiry_analysis_data[[#This Row],[enquiry_date]])</f>
        <v>2025</v>
      </c>
      <c r="E225">
        <f>MONTH(enquiry_analysis_data[[#This Row],[enquiry_date]])</f>
        <v>10</v>
      </c>
      <c r="F225" t="s">
        <v>502</v>
      </c>
      <c r="G225" t="s">
        <v>503</v>
      </c>
      <c r="H225" s="2">
        <v>9000000336</v>
      </c>
      <c r="I225" t="s">
        <v>71</v>
      </c>
      <c r="J225" t="s">
        <v>19</v>
      </c>
      <c r="K225" t="s">
        <v>20</v>
      </c>
      <c r="L225" t="s">
        <v>99</v>
      </c>
      <c r="M225" t="s">
        <v>100</v>
      </c>
      <c r="N225" t="s">
        <v>101</v>
      </c>
      <c r="O225" t="s">
        <v>42</v>
      </c>
      <c r="P225" t="s">
        <v>43</v>
      </c>
      <c r="Q225" t="s">
        <v>26</v>
      </c>
      <c r="R225" t="s">
        <v>56</v>
      </c>
      <c r="S225">
        <f>IF(enquiry_analysis_data[[#This Row],[enquiry_status]]="Converted",1,0)</f>
        <v>0</v>
      </c>
      <c r="T225" t="s">
        <v>28</v>
      </c>
    </row>
    <row r="226" spans="1:20" x14ac:dyDescent="0.3">
      <c r="A226">
        <v>286</v>
      </c>
      <c r="B226" s="1">
        <v>45952.529745370368</v>
      </c>
      <c r="C226" s="1" t="str">
        <f>TEXT(enquiry_analysis_data[[#This Row],[enquiry_date]],"mmmm-yyyy")</f>
        <v>October-2025</v>
      </c>
      <c r="D226">
        <f>YEAR(enquiry_analysis_data[[#This Row],[enquiry_date]])</f>
        <v>2025</v>
      </c>
      <c r="E226">
        <f>MONTH(enquiry_analysis_data[[#This Row],[enquiry_date]])</f>
        <v>10</v>
      </c>
      <c r="F226" t="s">
        <v>504</v>
      </c>
      <c r="G226" t="s">
        <v>505</v>
      </c>
      <c r="H226" s="2">
        <v>9000000283</v>
      </c>
      <c r="I226" t="s">
        <v>77</v>
      </c>
      <c r="J226" t="s">
        <v>19</v>
      </c>
      <c r="K226" t="s">
        <v>33</v>
      </c>
      <c r="L226" t="s">
        <v>111</v>
      </c>
      <c r="M226" t="s">
        <v>112</v>
      </c>
      <c r="N226" t="s">
        <v>113</v>
      </c>
      <c r="O226" t="s">
        <v>24</v>
      </c>
      <c r="P226" t="s">
        <v>43</v>
      </c>
      <c r="Q226" t="s">
        <v>141</v>
      </c>
      <c r="R226" t="s">
        <v>68</v>
      </c>
      <c r="S226">
        <f>IF(enquiry_analysis_data[[#This Row],[enquiry_status]]="Converted",1,0)</f>
        <v>1</v>
      </c>
      <c r="T226" t="s">
        <v>28</v>
      </c>
    </row>
    <row r="227" spans="1:20" x14ac:dyDescent="0.3">
      <c r="A227">
        <v>207</v>
      </c>
      <c r="B227" s="1">
        <v>45953.444247685184</v>
      </c>
      <c r="C227" s="1" t="str">
        <f>TEXT(enquiry_analysis_data[[#This Row],[enquiry_date]],"mmmm-yyyy")</f>
        <v>October-2025</v>
      </c>
      <c r="D227">
        <f>YEAR(enquiry_analysis_data[[#This Row],[enquiry_date]])</f>
        <v>2025</v>
      </c>
      <c r="E227">
        <f>MONTH(enquiry_analysis_data[[#This Row],[enquiry_date]])</f>
        <v>10</v>
      </c>
      <c r="F227" t="s">
        <v>506</v>
      </c>
      <c r="G227" t="s">
        <v>507</v>
      </c>
      <c r="H227" s="2">
        <v>9000000204</v>
      </c>
      <c r="I227" t="s">
        <v>77</v>
      </c>
      <c r="J227" t="s">
        <v>49</v>
      </c>
      <c r="K227" t="s">
        <v>20</v>
      </c>
      <c r="L227" t="s">
        <v>72</v>
      </c>
      <c r="M227" t="s">
        <v>73</v>
      </c>
      <c r="N227" t="s">
        <v>74</v>
      </c>
      <c r="O227" t="s">
        <v>42</v>
      </c>
      <c r="P227" t="s">
        <v>36</v>
      </c>
      <c r="Q227" t="s">
        <v>26</v>
      </c>
      <c r="R227" t="s">
        <v>194</v>
      </c>
      <c r="S227">
        <f>IF(enquiry_analysis_data[[#This Row],[enquiry_status]]="Converted",1,0)</f>
        <v>0</v>
      </c>
      <c r="T227" t="s">
        <v>28</v>
      </c>
    </row>
    <row r="228" spans="1:20" x14ac:dyDescent="0.3">
      <c r="A228">
        <v>326</v>
      </c>
      <c r="B228" s="1">
        <v>45953.7268287037</v>
      </c>
      <c r="C228" s="1" t="str">
        <f>TEXT(enquiry_analysis_data[[#This Row],[enquiry_date]],"mmmm-yyyy")</f>
        <v>October-2025</v>
      </c>
      <c r="D228">
        <f>YEAR(enquiry_analysis_data[[#This Row],[enquiry_date]])</f>
        <v>2025</v>
      </c>
      <c r="E228">
        <f>MONTH(enquiry_analysis_data[[#This Row],[enquiry_date]])</f>
        <v>10</v>
      </c>
      <c r="F228" t="s">
        <v>508</v>
      </c>
      <c r="G228" t="s">
        <v>509</v>
      </c>
      <c r="H228" s="2">
        <v>9000000323</v>
      </c>
      <c r="I228" t="s">
        <v>88</v>
      </c>
      <c r="J228" t="s">
        <v>128</v>
      </c>
      <c r="K228" t="s">
        <v>20</v>
      </c>
      <c r="L228" t="s">
        <v>245</v>
      </c>
      <c r="M228" t="s">
        <v>246</v>
      </c>
      <c r="N228" t="s">
        <v>156</v>
      </c>
      <c r="O228" t="s">
        <v>42</v>
      </c>
      <c r="P228" t="s">
        <v>36</v>
      </c>
      <c r="Q228" t="s">
        <v>53</v>
      </c>
      <c r="R228" t="s">
        <v>68</v>
      </c>
      <c r="S228">
        <f>IF(enquiry_analysis_data[[#This Row],[enquiry_status]]="Converted",1,0)</f>
        <v>1</v>
      </c>
      <c r="T228" t="s">
        <v>28</v>
      </c>
    </row>
    <row r="229" spans="1:20" x14ac:dyDescent="0.3">
      <c r="A229">
        <v>483</v>
      </c>
      <c r="B229" s="1">
        <v>45953.820347222223</v>
      </c>
      <c r="C229" s="1" t="str">
        <f>TEXT(enquiry_analysis_data[[#This Row],[enquiry_date]],"mmmm-yyyy")</f>
        <v>October-2025</v>
      </c>
      <c r="D229">
        <f>YEAR(enquiry_analysis_data[[#This Row],[enquiry_date]])</f>
        <v>2025</v>
      </c>
      <c r="E229">
        <f>MONTH(enquiry_analysis_data[[#This Row],[enquiry_date]])</f>
        <v>10</v>
      </c>
      <c r="F229" t="s">
        <v>510</v>
      </c>
      <c r="G229" t="s">
        <v>511</v>
      </c>
      <c r="H229" s="2">
        <v>9000000480</v>
      </c>
      <c r="I229" t="s">
        <v>77</v>
      </c>
      <c r="J229" t="s">
        <v>104</v>
      </c>
      <c r="K229" t="s">
        <v>105</v>
      </c>
      <c r="L229" t="s">
        <v>117</v>
      </c>
      <c r="M229" t="s">
        <v>118</v>
      </c>
      <c r="N229" t="s">
        <v>119</v>
      </c>
      <c r="O229" t="s">
        <v>42</v>
      </c>
      <c r="P229" t="s">
        <v>52</v>
      </c>
      <c r="Q229" t="s">
        <v>83</v>
      </c>
      <c r="R229" t="s">
        <v>27</v>
      </c>
      <c r="S229">
        <f>IF(enquiry_analysis_data[[#This Row],[enquiry_status]]="Converted",1,0)</f>
        <v>0</v>
      </c>
      <c r="T229" t="s">
        <v>28</v>
      </c>
    </row>
    <row r="230" spans="1:20" x14ac:dyDescent="0.3">
      <c r="A230">
        <v>393</v>
      </c>
      <c r="B230" s="1">
        <v>45954.49013888889</v>
      </c>
      <c r="C230" s="1" t="str">
        <f>TEXT(enquiry_analysis_data[[#This Row],[enquiry_date]],"mmmm-yyyy")</f>
        <v>October-2025</v>
      </c>
      <c r="D230">
        <f>YEAR(enquiry_analysis_data[[#This Row],[enquiry_date]])</f>
        <v>2025</v>
      </c>
      <c r="E230">
        <f>MONTH(enquiry_analysis_data[[#This Row],[enquiry_date]])</f>
        <v>10</v>
      </c>
      <c r="F230" t="s">
        <v>512</v>
      </c>
      <c r="G230" t="s">
        <v>513</v>
      </c>
      <c r="H230" s="2">
        <v>9000000390</v>
      </c>
      <c r="I230" t="s">
        <v>77</v>
      </c>
      <c r="J230" t="s">
        <v>19</v>
      </c>
      <c r="K230" t="s">
        <v>33</v>
      </c>
      <c r="L230" t="s">
        <v>144</v>
      </c>
      <c r="M230" t="s">
        <v>145</v>
      </c>
      <c r="N230" t="s">
        <v>101</v>
      </c>
      <c r="O230" t="s">
        <v>42</v>
      </c>
      <c r="P230" t="s">
        <v>43</v>
      </c>
      <c r="Q230" t="s">
        <v>53</v>
      </c>
      <c r="R230" t="s">
        <v>194</v>
      </c>
      <c r="S230">
        <f>IF(enquiry_analysis_data[[#This Row],[enquiry_status]]="Converted",1,0)</f>
        <v>0</v>
      </c>
      <c r="T230" t="s">
        <v>28</v>
      </c>
    </row>
    <row r="231" spans="1:20" x14ac:dyDescent="0.3">
      <c r="A231">
        <v>437</v>
      </c>
      <c r="B231" s="1">
        <v>45954.754930555559</v>
      </c>
      <c r="C231" s="1" t="str">
        <f>TEXT(enquiry_analysis_data[[#This Row],[enquiry_date]],"mmmm-yyyy")</f>
        <v>October-2025</v>
      </c>
      <c r="D231">
        <f>YEAR(enquiry_analysis_data[[#This Row],[enquiry_date]])</f>
        <v>2025</v>
      </c>
      <c r="E231">
        <f>MONTH(enquiry_analysis_data[[#This Row],[enquiry_date]])</f>
        <v>10</v>
      </c>
      <c r="F231" t="s">
        <v>514</v>
      </c>
      <c r="G231" t="s">
        <v>515</v>
      </c>
      <c r="H231" s="2">
        <v>9000000434</v>
      </c>
      <c r="I231" t="s">
        <v>31</v>
      </c>
      <c r="J231" t="s">
        <v>128</v>
      </c>
      <c r="K231" t="s">
        <v>67</v>
      </c>
      <c r="L231" t="s">
        <v>106</v>
      </c>
      <c r="M231" t="s">
        <v>107</v>
      </c>
      <c r="N231" t="s">
        <v>108</v>
      </c>
      <c r="O231" t="s">
        <v>24</v>
      </c>
      <c r="P231" t="s">
        <v>43</v>
      </c>
      <c r="Q231" t="s">
        <v>141</v>
      </c>
      <c r="R231" t="s">
        <v>114</v>
      </c>
      <c r="S231">
        <f>IF(enquiry_analysis_data[[#This Row],[enquiry_status]]="Converted",1,0)</f>
        <v>0</v>
      </c>
      <c r="T231" t="s">
        <v>28</v>
      </c>
    </row>
    <row r="232" spans="1:20" x14ac:dyDescent="0.3">
      <c r="A232">
        <v>475</v>
      </c>
      <c r="B232" s="1">
        <v>45955.244039351855</v>
      </c>
      <c r="C232" s="1" t="str">
        <f>TEXT(enquiry_analysis_data[[#This Row],[enquiry_date]],"mmmm-yyyy")</f>
        <v>October-2025</v>
      </c>
      <c r="D232">
        <f>YEAR(enquiry_analysis_data[[#This Row],[enquiry_date]])</f>
        <v>2025</v>
      </c>
      <c r="E232">
        <f>MONTH(enquiry_analysis_data[[#This Row],[enquiry_date]])</f>
        <v>10</v>
      </c>
      <c r="F232" t="s">
        <v>516</v>
      </c>
      <c r="G232" t="s">
        <v>517</v>
      </c>
      <c r="H232" s="2">
        <v>9000000472</v>
      </c>
      <c r="I232" t="s">
        <v>18</v>
      </c>
      <c r="J232" t="s">
        <v>19</v>
      </c>
      <c r="K232" t="s">
        <v>20</v>
      </c>
      <c r="L232" t="s">
        <v>117</v>
      </c>
      <c r="M232" t="s">
        <v>118</v>
      </c>
      <c r="N232" t="s">
        <v>119</v>
      </c>
      <c r="O232" t="s">
        <v>42</v>
      </c>
      <c r="P232" t="s">
        <v>43</v>
      </c>
      <c r="Q232" t="s">
        <v>53</v>
      </c>
      <c r="R232" t="s">
        <v>68</v>
      </c>
      <c r="S232">
        <f>IF(enquiry_analysis_data[[#This Row],[enquiry_status]]="Converted",1,0)</f>
        <v>1</v>
      </c>
      <c r="T232" t="s">
        <v>28</v>
      </c>
    </row>
    <row r="233" spans="1:20" x14ac:dyDescent="0.3">
      <c r="A233">
        <v>122</v>
      </c>
      <c r="B233" s="1">
        <v>45958.690868055557</v>
      </c>
      <c r="C233" s="1" t="str">
        <f>TEXT(enquiry_analysis_data[[#This Row],[enquiry_date]],"mmmm-yyyy")</f>
        <v>October-2025</v>
      </c>
      <c r="D233">
        <f>YEAR(enquiry_analysis_data[[#This Row],[enquiry_date]])</f>
        <v>2025</v>
      </c>
      <c r="E233">
        <f>MONTH(enquiry_analysis_data[[#This Row],[enquiry_date]])</f>
        <v>10</v>
      </c>
      <c r="F233" t="s">
        <v>518</v>
      </c>
      <c r="G233" t="s">
        <v>519</v>
      </c>
      <c r="H233" s="2">
        <v>9000000119</v>
      </c>
      <c r="I233" t="s">
        <v>77</v>
      </c>
      <c r="J233" t="s">
        <v>32</v>
      </c>
      <c r="K233" t="s">
        <v>33</v>
      </c>
      <c r="L233" t="s">
        <v>245</v>
      </c>
      <c r="M233" t="s">
        <v>246</v>
      </c>
      <c r="N233" t="s">
        <v>156</v>
      </c>
      <c r="O233" t="s">
        <v>42</v>
      </c>
      <c r="P233" t="s">
        <v>43</v>
      </c>
      <c r="Q233" t="s">
        <v>26</v>
      </c>
      <c r="R233" t="s">
        <v>114</v>
      </c>
      <c r="S233">
        <f>IF(enquiry_analysis_data[[#This Row],[enquiry_status]]="Converted",1,0)</f>
        <v>0</v>
      </c>
      <c r="T233" t="s">
        <v>28</v>
      </c>
    </row>
    <row r="234" spans="1:20" x14ac:dyDescent="0.3">
      <c r="A234">
        <v>313</v>
      </c>
      <c r="B234" s="1">
        <v>45959.957037037035</v>
      </c>
      <c r="C234" s="1" t="str">
        <f>TEXT(enquiry_analysis_data[[#This Row],[enquiry_date]],"mmmm-yyyy")</f>
        <v>October-2025</v>
      </c>
      <c r="D234">
        <f>YEAR(enquiry_analysis_data[[#This Row],[enquiry_date]])</f>
        <v>2025</v>
      </c>
      <c r="E234">
        <f>MONTH(enquiry_analysis_data[[#This Row],[enquiry_date]])</f>
        <v>10</v>
      </c>
      <c r="F234" t="s">
        <v>520</v>
      </c>
      <c r="G234" t="s">
        <v>521</v>
      </c>
      <c r="H234" s="2">
        <v>9000000310</v>
      </c>
      <c r="I234" t="s">
        <v>31</v>
      </c>
      <c r="J234" t="s">
        <v>19</v>
      </c>
      <c r="K234" t="s">
        <v>94</v>
      </c>
      <c r="L234" t="s">
        <v>34</v>
      </c>
      <c r="M234" t="s">
        <v>35</v>
      </c>
      <c r="N234" t="s">
        <v>35</v>
      </c>
      <c r="O234" t="s">
        <v>24</v>
      </c>
      <c r="P234" t="s">
        <v>25</v>
      </c>
      <c r="Q234" t="s">
        <v>141</v>
      </c>
      <c r="R234" t="s">
        <v>56</v>
      </c>
      <c r="S234">
        <f>IF(enquiry_analysis_data[[#This Row],[enquiry_status]]="Converted",1,0)</f>
        <v>0</v>
      </c>
      <c r="T234" t="s">
        <v>28</v>
      </c>
    </row>
    <row r="235" spans="1:20" x14ac:dyDescent="0.3">
      <c r="A235">
        <v>274</v>
      </c>
      <c r="B235" s="1">
        <v>45960.039652777778</v>
      </c>
      <c r="C235" s="1" t="str">
        <f>TEXT(enquiry_analysis_data[[#This Row],[enquiry_date]],"mmmm-yyyy")</f>
        <v>October-2025</v>
      </c>
      <c r="D235">
        <f>YEAR(enquiry_analysis_data[[#This Row],[enquiry_date]])</f>
        <v>2025</v>
      </c>
      <c r="E235">
        <f>MONTH(enquiry_analysis_data[[#This Row],[enquiry_date]])</f>
        <v>10</v>
      </c>
      <c r="F235" t="s">
        <v>522</v>
      </c>
      <c r="G235" t="s">
        <v>523</v>
      </c>
      <c r="H235" s="2">
        <v>9000000271</v>
      </c>
      <c r="I235" t="s">
        <v>48</v>
      </c>
      <c r="J235" t="s">
        <v>128</v>
      </c>
      <c r="K235" t="s">
        <v>33</v>
      </c>
      <c r="L235" t="s">
        <v>136</v>
      </c>
      <c r="M235" t="s">
        <v>137</v>
      </c>
      <c r="N235" t="s">
        <v>62</v>
      </c>
      <c r="O235" t="s">
        <v>42</v>
      </c>
      <c r="P235" t="s">
        <v>36</v>
      </c>
      <c r="Q235" t="s">
        <v>53</v>
      </c>
      <c r="R235" t="s">
        <v>45</v>
      </c>
      <c r="S235">
        <f>IF(enquiry_analysis_data[[#This Row],[enquiry_status]]="Converted",1,0)</f>
        <v>0</v>
      </c>
      <c r="T235" t="s">
        <v>28</v>
      </c>
    </row>
    <row r="236" spans="1:20" x14ac:dyDescent="0.3">
      <c r="A236">
        <v>182</v>
      </c>
      <c r="B236" s="1">
        <v>45960.068993055553</v>
      </c>
      <c r="C236" s="1" t="str">
        <f>TEXT(enquiry_analysis_data[[#This Row],[enquiry_date]],"mmmm-yyyy")</f>
        <v>October-2025</v>
      </c>
      <c r="D236">
        <f>YEAR(enquiry_analysis_data[[#This Row],[enquiry_date]])</f>
        <v>2025</v>
      </c>
      <c r="E236">
        <f>MONTH(enquiry_analysis_data[[#This Row],[enquiry_date]])</f>
        <v>10</v>
      </c>
      <c r="F236" t="s">
        <v>524</v>
      </c>
      <c r="G236" t="s">
        <v>525</v>
      </c>
      <c r="H236" s="2">
        <v>9000000179</v>
      </c>
      <c r="I236" t="s">
        <v>66</v>
      </c>
      <c r="J236" t="s">
        <v>19</v>
      </c>
      <c r="K236" t="s">
        <v>33</v>
      </c>
      <c r="L236" t="s">
        <v>78</v>
      </c>
      <c r="M236" t="s">
        <v>79</v>
      </c>
      <c r="N236" t="s">
        <v>80</v>
      </c>
      <c r="O236" t="s">
        <v>42</v>
      </c>
      <c r="P236" t="s">
        <v>52</v>
      </c>
      <c r="Q236" t="s">
        <v>63</v>
      </c>
      <c r="R236" t="s">
        <v>68</v>
      </c>
      <c r="S236">
        <f>IF(enquiry_analysis_data[[#This Row],[enquiry_status]]="Converted",1,0)</f>
        <v>1</v>
      </c>
      <c r="T236" t="s">
        <v>28</v>
      </c>
    </row>
    <row r="237" spans="1:20" x14ac:dyDescent="0.3">
      <c r="A237">
        <v>262</v>
      </c>
      <c r="B237" s="1">
        <v>45964.676701388889</v>
      </c>
      <c r="C237" s="1" t="str">
        <f>TEXT(enquiry_analysis_data[[#This Row],[enquiry_date]],"mmmm-yyyy")</f>
        <v>November-2025</v>
      </c>
      <c r="D237">
        <f>YEAR(enquiry_analysis_data[[#This Row],[enquiry_date]])</f>
        <v>2025</v>
      </c>
      <c r="E237">
        <f>MONTH(enquiry_analysis_data[[#This Row],[enquiry_date]])</f>
        <v>11</v>
      </c>
      <c r="F237" t="s">
        <v>526</v>
      </c>
      <c r="G237" t="s">
        <v>527</v>
      </c>
      <c r="H237" s="2">
        <v>9000000259</v>
      </c>
      <c r="I237" t="s">
        <v>88</v>
      </c>
      <c r="J237" t="s">
        <v>128</v>
      </c>
      <c r="K237" t="s">
        <v>20</v>
      </c>
      <c r="L237" t="s">
        <v>106</v>
      </c>
      <c r="M237" t="s">
        <v>107</v>
      </c>
      <c r="N237" t="s">
        <v>108</v>
      </c>
      <c r="O237" t="s">
        <v>24</v>
      </c>
      <c r="P237" t="s">
        <v>43</v>
      </c>
      <c r="Q237" t="s">
        <v>141</v>
      </c>
      <c r="R237" t="s">
        <v>27</v>
      </c>
      <c r="S237">
        <f>IF(enquiry_analysis_data[[#This Row],[enquiry_status]]="Converted",1,0)</f>
        <v>0</v>
      </c>
      <c r="T237" t="s">
        <v>28</v>
      </c>
    </row>
    <row r="238" spans="1:20" x14ac:dyDescent="0.3">
      <c r="A238">
        <v>379</v>
      </c>
      <c r="B238" s="1">
        <v>45966.567141203705</v>
      </c>
      <c r="C238" s="1" t="str">
        <f>TEXT(enquiry_analysis_data[[#This Row],[enquiry_date]],"mmmm-yyyy")</f>
        <v>November-2025</v>
      </c>
      <c r="D238">
        <f>YEAR(enquiry_analysis_data[[#This Row],[enquiry_date]])</f>
        <v>2025</v>
      </c>
      <c r="E238">
        <f>MONTH(enquiry_analysis_data[[#This Row],[enquiry_date]])</f>
        <v>11</v>
      </c>
      <c r="F238" t="s">
        <v>54</v>
      </c>
      <c r="G238" t="s">
        <v>528</v>
      </c>
      <c r="H238" s="2">
        <v>9000000376</v>
      </c>
      <c r="I238" t="s">
        <v>77</v>
      </c>
      <c r="J238" t="s">
        <v>19</v>
      </c>
      <c r="K238" t="s">
        <v>33</v>
      </c>
      <c r="L238" t="s">
        <v>50</v>
      </c>
      <c r="M238" t="s">
        <v>51</v>
      </c>
      <c r="N238" t="s">
        <v>23</v>
      </c>
      <c r="O238" t="s">
        <v>24</v>
      </c>
      <c r="P238" t="s">
        <v>36</v>
      </c>
      <c r="Q238" t="s">
        <v>141</v>
      </c>
      <c r="R238" t="s">
        <v>56</v>
      </c>
      <c r="S238">
        <f>IF(enquiry_analysis_data[[#This Row],[enquiry_status]]="Converted",1,0)</f>
        <v>0</v>
      </c>
      <c r="T238" t="s">
        <v>28</v>
      </c>
    </row>
    <row r="239" spans="1:20" x14ac:dyDescent="0.3">
      <c r="A239">
        <v>257</v>
      </c>
      <c r="B239" s="1">
        <v>45969.782534722224</v>
      </c>
      <c r="C239" s="1" t="str">
        <f>TEXT(enquiry_analysis_data[[#This Row],[enquiry_date]],"mmmm-yyyy")</f>
        <v>November-2025</v>
      </c>
      <c r="D239">
        <f>YEAR(enquiry_analysis_data[[#This Row],[enquiry_date]])</f>
        <v>2025</v>
      </c>
      <c r="E239">
        <f>MONTH(enquiry_analysis_data[[#This Row],[enquiry_date]])</f>
        <v>11</v>
      </c>
      <c r="F239" t="s">
        <v>529</v>
      </c>
      <c r="G239" t="s">
        <v>530</v>
      </c>
      <c r="H239" s="2">
        <v>9000000254</v>
      </c>
      <c r="I239" t="s">
        <v>88</v>
      </c>
      <c r="J239" t="s">
        <v>32</v>
      </c>
      <c r="K239" t="s">
        <v>67</v>
      </c>
      <c r="L239" t="s">
        <v>21</v>
      </c>
      <c r="M239" t="s">
        <v>22</v>
      </c>
      <c r="N239" t="s">
        <v>23</v>
      </c>
      <c r="O239" t="s">
        <v>42</v>
      </c>
      <c r="P239" t="s">
        <v>25</v>
      </c>
      <c r="Q239" t="s">
        <v>26</v>
      </c>
      <c r="R239" t="s">
        <v>194</v>
      </c>
      <c r="S239">
        <f>IF(enquiry_analysis_data[[#This Row],[enquiry_status]]="Converted",1,0)</f>
        <v>0</v>
      </c>
      <c r="T239" t="s">
        <v>28</v>
      </c>
    </row>
    <row r="240" spans="1:20" x14ac:dyDescent="0.3">
      <c r="A240">
        <v>320</v>
      </c>
      <c r="B240" s="1">
        <v>45971.699976851851</v>
      </c>
      <c r="C240" s="1" t="str">
        <f>TEXT(enquiry_analysis_data[[#This Row],[enquiry_date]],"mmmm-yyyy")</f>
        <v>November-2025</v>
      </c>
      <c r="D240">
        <f>YEAR(enquiry_analysis_data[[#This Row],[enquiry_date]])</f>
        <v>2025</v>
      </c>
      <c r="E240">
        <f>MONTH(enquiry_analysis_data[[#This Row],[enquiry_date]])</f>
        <v>11</v>
      </c>
      <c r="F240" t="s">
        <v>426</v>
      </c>
      <c r="G240" t="s">
        <v>531</v>
      </c>
      <c r="H240" s="2">
        <v>9000000317</v>
      </c>
      <c r="I240" t="s">
        <v>71</v>
      </c>
      <c r="J240" t="s">
        <v>32</v>
      </c>
      <c r="K240" t="s">
        <v>33</v>
      </c>
      <c r="L240" t="s">
        <v>34</v>
      </c>
      <c r="M240" t="s">
        <v>35</v>
      </c>
      <c r="N240" t="s">
        <v>35</v>
      </c>
      <c r="O240" t="s">
        <v>42</v>
      </c>
      <c r="P240" t="s">
        <v>52</v>
      </c>
      <c r="Q240" t="s">
        <v>53</v>
      </c>
      <c r="R240" t="s">
        <v>68</v>
      </c>
      <c r="S240">
        <f>IF(enquiry_analysis_data[[#This Row],[enquiry_status]]="Converted",1,0)</f>
        <v>1</v>
      </c>
      <c r="T240" t="s">
        <v>28</v>
      </c>
    </row>
    <row r="241" spans="1:20" x14ac:dyDescent="0.3">
      <c r="A241">
        <v>404</v>
      </c>
      <c r="B241" s="1">
        <v>45972.137256944443</v>
      </c>
      <c r="C241" s="1" t="str">
        <f>TEXT(enquiry_analysis_data[[#This Row],[enquiry_date]],"mmmm-yyyy")</f>
        <v>November-2025</v>
      </c>
      <c r="D241">
        <f>YEAR(enquiry_analysis_data[[#This Row],[enquiry_date]])</f>
        <v>2025</v>
      </c>
      <c r="E241">
        <f>MONTH(enquiry_analysis_data[[#This Row],[enquiry_date]])</f>
        <v>11</v>
      </c>
      <c r="F241" t="s">
        <v>532</v>
      </c>
      <c r="G241" t="s">
        <v>533</v>
      </c>
      <c r="H241" s="2">
        <v>9000000401</v>
      </c>
      <c r="I241" t="s">
        <v>59</v>
      </c>
      <c r="J241" t="s">
        <v>49</v>
      </c>
      <c r="K241" t="s">
        <v>94</v>
      </c>
      <c r="L241" t="s">
        <v>245</v>
      </c>
      <c r="M241" t="s">
        <v>246</v>
      </c>
      <c r="N241" t="s">
        <v>156</v>
      </c>
      <c r="O241" t="s">
        <v>24</v>
      </c>
      <c r="P241" t="s">
        <v>43</v>
      </c>
      <c r="Q241" t="s">
        <v>83</v>
      </c>
      <c r="R241" t="s">
        <v>114</v>
      </c>
      <c r="S241">
        <f>IF(enquiry_analysis_data[[#This Row],[enquiry_status]]="Converted",1,0)</f>
        <v>0</v>
      </c>
      <c r="T241" t="s">
        <v>28</v>
      </c>
    </row>
    <row r="242" spans="1:20" x14ac:dyDescent="0.3">
      <c r="A242">
        <v>267</v>
      </c>
      <c r="B242" s="1">
        <v>45972.475717592592</v>
      </c>
      <c r="C242" s="1" t="str">
        <f>TEXT(enquiry_analysis_data[[#This Row],[enquiry_date]],"mmmm-yyyy")</f>
        <v>November-2025</v>
      </c>
      <c r="D242">
        <f>YEAR(enquiry_analysis_data[[#This Row],[enquiry_date]])</f>
        <v>2025</v>
      </c>
      <c r="E242">
        <f>MONTH(enquiry_analysis_data[[#This Row],[enquiry_date]])</f>
        <v>11</v>
      </c>
      <c r="F242" t="s">
        <v>534</v>
      </c>
      <c r="G242" t="s">
        <v>535</v>
      </c>
      <c r="H242" s="2">
        <v>9000000264</v>
      </c>
      <c r="I242" t="s">
        <v>123</v>
      </c>
      <c r="J242" t="s">
        <v>19</v>
      </c>
      <c r="K242" t="s">
        <v>94</v>
      </c>
      <c r="L242" t="s">
        <v>21</v>
      </c>
      <c r="M242" t="s">
        <v>22</v>
      </c>
      <c r="N242" t="s">
        <v>23</v>
      </c>
      <c r="O242" t="s">
        <v>24</v>
      </c>
      <c r="P242" t="s">
        <v>52</v>
      </c>
      <c r="Q242" t="s">
        <v>83</v>
      </c>
      <c r="R242" t="s">
        <v>56</v>
      </c>
      <c r="S242">
        <f>IF(enquiry_analysis_data[[#This Row],[enquiry_status]]="Converted",1,0)</f>
        <v>0</v>
      </c>
      <c r="T242" t="s">
        <v>28</v>
      </c>
    </row>
    <row r="243" spans="1:20" x14ac:dyDescent="0.3">
      <c r="A243">
        <v>164</v>
      </c>
      <c r="B243" s="1">
        <v>45973.328680555554</v>
      </c>
      <c r="C243" s="1" t="str">
        <f>TEXT(enquiry_analysis_data[[#This Row],[enquiry_date]],"mmmm-yyyy")</f>
        <v>November-2025</v>
      </c>
      <c r="D243">
        <f>YEAR(enquiry_analysis_data[[#This Row],[enquiry_date]])</f>
        <v>2025</v>
      </c>
      <c r="E243">
        <f>MONTH(enquiry_analysis_data[[#This Row],[enquiry_date]])</f>
        <v>11</v>
      </c>
      <c r="F243" t="s">
        <v>139</v>
      </c>
      <c r="G243" t="s">
        <v>536</v>
      </c>
      <c r="H243" s="2">
        <v>9000000161</v>
      </c>
      <c r="I243" t="s">
        <v>71</v>
      </c>
      <c r="J243" t="s">
        <v>19</v>
      </c>
      <c r="K243" t="s">
        <v>33</v>
      </c>
      <c r="L243" t="s">
        <v>99</v>
      </c>
      <c r="M243" t="s">
        <v>100</v>
      </c>
      <c r="N243" t="s">
        <v>101</v>
      </c>
      <c r="O243" t="s">
        <v>42</v>
      </c>
      <c r="P243" t="s">
        <v>43</v>
      </c>
      <c r="Q243" t="s">
        <v>141</v>
      </c>
      <c r="R243" t="s">
        <v>45</v>
      </c>
      <c r="S243">
        <f>IF(enquiry_analysis_data[[#This Row],[enquiry_status]]="Converted",1,0)</f>
        <v>0</v>
      </c>
      <c r="T243" t="s">
        <v>28</v>
      </c>
    </row>
    <row r="244" spans="1:20" x14ac:dyDescent="0.3">
      <c r="A244">
        <v>303</v>
      </c>
      <c r="B244" s="1">
        <v>45974.633564814816</v>
      </c>
      <c r="C244" s="1" t="str">
        <f>TEXT(enquiry_analysis_data[[#This Row],[enquiry_date]],"mmmm-yyyy")</f>
        <v>November-2025</v>
      </c>
      <c r="D244">
        <f>YEAR(enquiry_analysis_data[[#This Row],[enquiry_date]])</f>
        <v>2025</v>
      </c>
      <c r="E244">
        <f>MONTH(enquiry_analysis_data[[#This Row],[enquiry_date]])</f>
        <v>11</v>
      </c>
      <c r="F244" t="s">
        <v>537</v>
      </c>
      <c r="G244" t="s">
        <v>538</v>
      </c>
      <c r="H244" s="2">
        <v>9000000300</v>
      </c>
      <c r="I244" t="s">
        <v>123</v>
      </c>
      <c r="J244" t="s">
        <v>19</v>
      </c>
      <c r="K244" t="s">
        <v>20</v>
      </c>
      <c r="L244" t="s">
        <v>106</v>
      </c>
      <c r="M244" t="s">
        <v>107</v>
      </c>
      <c r="N244" t="s">
        <v>108</v>
      </c>
      <c r="O244" t="s">
        <v>42</v>
      </c>
      <c r="P244" t="s">
        <v>52</v>
      </c>
      <c r="Q244" t="s">
        <v>83</v>
      </c>
      <c r="R244" t="s">
        <v>114</v>
      </c>
      <c r="S244">
        <f>IF(enquiry_analysis_data[[#This Row],[enquiry_status]]="Converted",1,0)</f>
        <v>0</v>
      </c>
      <c r="T244" t="s">
        <v>28</v>
      </c>
    </row>
    <row r="245" spans="1:20" x14ac:dyDescent="0.3">
      <c r="A245">
        <v>203</v>
      </c>
      <c r="B245" s="1">
        <v>45975.312280092592</v>
      </c>
      <c r="C245" s="1" t="str">
        <f>TEXT(enquiry_analysis_data[[#This Row],[enquiry_date]],"mmmm-yyyy")</f>
        <v>November-2025</v>
      </c>
      <c r="D245">
        <f>YEAR(enquiry_analysis_data[[#This Row],[enquiry_date]])</f>
        <v>2025</v>
      </c>
      <c r="E245">
        <f>MONTH(enquiry_analysis_data[[#This Row],[enquiry_date]])</f>
        <v>11</v>
      </c>
      <c r="F245" t="s">
        <v>539</v>
      </c>
      <c r="G245" t="s">
        <v>540</v>
      </c>
      <c r="H245" s="2">
        <v>9000000200</v>
      </c>
      <c r="I245" t="s">
        <v>88</v>
      </c>
      <c r="J245" t="s">
        <v>49</v>
      </c>
      <c r="K245" t="s">
        <v>33</v>
      </c>
      <c r="L245" t="s">
        <v>154</v>
      </c>
      <c r="M245" t="s">
        <v>155</v>
      </c>
      <c r="N245" t="s">
        <v>156</v>
      </c>
      <c r="O245" t="s">
        <v>42</v>
      </c>
      <c r="P245" t="s">
        <v>52</v>
      </c>
      <c r="Q245" t="s">
        <v>138</v>
      </c>
      <c r="R245" t="s">
        <v>68</v>
      </c>
      <c r="S245">
        <f>IF(enquiry_analysis_data[[#This Row],[enquiry_status]]="Converted",1,0)</f>
        <v>1</v>
      </c>
      <c r="T245" t="s">
        <v>28</v>
      </c>
    </row>
    <row r="246" spans="1:20" x14ac:dyDescent="0.3">
      <c r="A246">
        <v>192</v>
      </c>
      <c r="B246" s="1">
        <v>45977.871064814812</v>
      </c>
      <c r="C246" s="1" t="str">
        <f>TEXT(enquiry_analysis_data[[#This Row],[enquiry_date]],"mmmm-yyyy")</f>
        <v>November-2025</v>
      </c>
      <c r="D246">
        <f>YEAR(enquiry_analysis_data[[#This Row],[enquiry_date]])</f>
        <v>2025</v>
      </c>
      <c r="E246">
        <f>MONTH(enquiry_analysis_data[[#This Row],[enquiry_date]])</f>
        <v>11</v>
      </c>
      <c r="F246" t="s">
        <v>449</v>
      </c>
      <c r="G246" t="s">
        <v>541</v>
      </c>
      <c r="H246" s="2">
        <v>9000000189</v>
      </c>
      <c r="I246" t="s">
        <v>31</v>
      </c>
      <c r="J246" t="s">
        <v>104</v>
      </c>
      <c r="K246" t="s">
        <v>105</v>
      </c>
      <c r="L246" t="s">
        <v>154</v>
      </c>
      <c r="M246" t="s">
        <v>155</v>
      </c>
      <c r="N246" t="s">
        <v>156</v>
      </c>
      <c r="O246" t="s">
        <v>42</v>
      </c>
      <c r="P246" t="s">
        <v>25</v>
      </c>
      <c r="Q246" t="s">
        <v>53</v>
      </c>
      <c r="R246" t="s">
        <v>27</v>
      </c>
      <c r="S246">
        <f>IF(enquiry_analysis_data[[#This Row],[enquiry_status]]="Converted",1,0)</f>
        <v>0</v>
      </c>
      <c r="T246" t="s">
        <v>28</v>
      </c>
    </row>
    <row r="247" spans="1:20" x14ac:dyDescent="0.3">
      <c r="A247">
        <v>80</v>
      </c>
      <c r="B247" s="1">
        <v>45979.793495370373</v>
      </c>
      <c r="C247" s="1" t="str">
        <f>TEXT(enquiry_analysis_data[[#This Row],[enquiry_date]],"mmmm-yyyy")</f>
        <v>November-2025</v>
      </c>
      <c r="D247">
        <f>YEAR(enquiry_analysis_data[[#This Row],[enquiry_date]])</f>
        <v>2025</v>
      </c>
      <c r="E247">
        <f>MONTH(enquiry_analysis_data[[#This Row],[enquiry_date]])</f>
        <v>11</v>
      </c>
      <c r="F247" t="s">
        <v>542</v>
      </c>
      <c r="G247" t="s">
        <v>543</v>
      </c>
      <c r="H247" s="2">
        <v>9000000077</v>
      </c>
      <c r="I247" t="s">
        <v>77</v>
      </c>
      <c r="J247" t="s">
        <v>32</v>
      </c>
      <c r="K247" t="s">
        <v>33</v>
      </c>
      <c r="L247" t="s">
        <v>40</v>
      </c>
      <c r="M247" t="s">
        <v>41</v>
      </c>
      <c r="N247" t="s">
        <v>41</v>
      </c>
      <c r="O247" t="s">
        <v>42</v>
      </c>
      <c r="P247" t="s">
        <v>43</v>
      </c>
      <c r="Q247" t="s">
        <v>141</v>
      </c>
      <c r="R247" t="s">
        <v>45</v>
      </c>
      <c r="S247">
        <f>IF(enquiry_analysis_data[[#This Row],[enquiry_status]]="Converted",1,0)</f>
        <v>0</v>
      </c>
      <c r="T247" t="s">
        <v>28</v>
      </c>
    </row>
    <row r="248" spans="1:20" x14ac:dyDescent="0.3">
      <c r="A248">
        <v>187</v>
      </c>
      <c r="B248" s="1">
        <v>45979.884062500001</v>
      </c>
      <c r="C248" s="1" t="str">
        <f>TEXT(enquiry_analysis_data[[#This Row],[enquiry_date]],"mmmm-yyyy")</f>
        <v>November-2025</v>
      </c>
      <c r="D248">
        <f>YEAR(enquiry_analysis_data[[#This Row],[enquiry_date]])</f>
        <v>2025</v>
      </c>
      <c r="E248">
        <f>MONTH(enquiry_analysis_data[[#This Row],[enquiry_date]])</f>
        <v>11</v>
      </c>
      <c r="F248" t="s">
        <v>255</v>
      </c>
      <c r="G248" t="s">
        <v>544</v>
      </c>
      <c r="H248" s="2">
        <v>9000000184</v>
      </c>
      <c r="I248" t="s">
        <v>31</v>
      </c>
      <c r="J248" t="s">
        <v>128</v>
      </c>
      <c r="K248" t="s">
        <v>20</v>
      </c>
      <c r="L248" t="s">
        <v>136</v>
      </c>
      <c r="M248" t="s">
        <v>137</v>
      </c>
      <c r="N248" t="s">
        <v>62</v>
      </c>
      <c r="O248" t="s">
        <v>24</v>
      </c>
      <c r="P248" t="s">
        <v>36</v>
      </c>
      <c r="Q248" t="s">
        <v>53</v>
      </c>
      <c r="R248" t="s">
        <v>194</v>
      </c>
      <c r="S248">
        <f>IF(enquiry_analysis_data[[#This Row],[enquiry_status]]="Converted",1,0)</f>
        <v>0</v>
      </c>
      <c r="T248" t="s">
        <v>28</v>
      </c>
    </row>
    <row r="249" spans="1:20" x14ac:dyDescent="0.3">
      <c r="A249">
        <v>17</v>
      </c>
      <c r="B249" s="1">
        <v>45983.838449074072</v>
      </c>
      <c r="C249" s="1" t="str">
        <f>TEXT(enquiry_analysis_data[[#This Row],[enquiry_date]],"mmmm-yyyy")</f>
        <v>November-2025</v>
      </c>
      <c r="D249">
        <f>YEAR(enquiry_analysis_data[[#This Row],[enquiry_date]])</f>
        <v>2025</v>
      </c>
      <c r="E249">
        <f>MONTH(enquiry_analysis_data[[#This Row],[enquiry_date]])</f>
        <v>11</v>
      </c>
      <c r="F249" t="s">
        <v>277</v>
      </c>
      <c r="G249" t="s">
        <v>545</v>
      </c>
      <c r="H249" s="2">
        <v>9000000014</v>
      </c>
      <c r="I249" t="s">
        <v>18</v>
      </c>
      <c r="J249" t="s">
        <v>19</v>
      </c>
      <c r="K249" t="s">
        <v>33</v>
      </c>
      <c r="L249" t="s">
        <v>111</v>
      </c>
      <c r="M249" t="s">
        <v>112</v>
      </c>
      <c r="N249" t="s">
        <v>113</v>
      </c>
      <c r="O249" t="s">
        <v>24</v>
      </c>
      <c r="P249" t="s">
        <v>43</v>
      </c>
      <c r="Q249" t="s">
        <v>53</v>
      </c>
      <c r="R249" t="s">
        <v>56</v>
      </c>
      <c r="S249">
        <f>IF(enquiry_analysis_data[[#This Row],[enquiry_status]]="Converted",1,0)</f>
        <v>0</v>
      </c>
      <c r="T249" t="s">
        <v>28</v>
      </c>
    </row>
    <row r="250" spans="1:20" x14ac:dyDescent="0.3">
      <c r="A250">
        <v>26</v>
      </c>
      <c r="B250" s="1">
        <v>45984.644259259258</v>
      </c>
      <c r="C250" s="1" t="str">
        <f>TEXT(enquiry_analysis_data[[#This Row],[enquiry_date]],"mmmm-yyyy")</f>
        <v>November-2025</v>
      </c>
      <c r="D250">
        <f>YEAR(enquiry_analysis_data[[#This Row],[enquiry_date]])</f>
        <v>2025</v>
      </c>
      <c r="E250">
        <f>MONTH(enquiry_analysis_data[[#This Row],[enquiry_date]])</f>
        <v>11</v>
      </c>
      <c r="F250" t="s">
        <v>546</v>
      </c>
      <c r="G250" t="s">
        <v>547</v>
      </c>
      <c r="H250" s="2">
        <v>9000000023</v>
      </c>
      <c r="I250" t="s">
        <v>123</v>
      </c>
      <c r="J250" t="s">
        <v>128</v>
      </c>
      <c r="K250" t="s">
        <v>33</v>
      </c>
      <c r="L250" t="s">
        <v>21</v>
      </c>
      <c r="M250" t="s">
        <v>22</v>
      </c>
      <c r="N250" t="s">
        <v>23</v>
      </c>
      <c r="O250" t="s">
        <v>42</v>
      </c>
      <c r="P250" t="s">
        <v>43</v>
      </c>
      <c r="Q250" t="s">
        <v>141</v>
      </c>
      <c r="R250" t="s">
        <v>56</v>
      </c>
      <c r="S250">
        <f>IF(enquiry_analysis_data[[#This Row],[enquiry_status]]="Converted",1,0)</f>
        <v>0</v>
      </c>
      <c r="T250" t="s">
        <v>28</v>
      </c>
    </row>
    <row r="251" spans="1:20" x14ac:dyDescent="0.3">
      <c r="A251">
        <v>211</v>
      </c>
      <c r="B251" s="1">
        <v>45987.028194444443</v>
      </c>
      <c r="C251" s="1" t="str">
        <f>TEXT(enquiry_analysis_data[[#This Row],[enquiry_date]],"mmmm-yyyy")</f>
        <v>November-2025</v>
      </c>
      <c r="D251">
        <f>YEAR(enquiry_analysis_data[[#This Row],[enquiry_date]])</f>
        <v>2025</v>
      </c>
      <c r="E251">
        <f>MONTH(enquiry_analysis_data[[#This Row],[enquiry_date]])</f>
        <v>11</v>
      </c>
      <c r="F251" t="s">
        <v>548</v>
      </c>
      <c r="G251" t="s">
        <v>549</v>
      </c>
      <c r="H251" s="2">
        <v>9000000208</v>
      </c>
      <c r="I251" t="s">
        <v>71</v>
      </c>
      <c r="J251" t="s">
        <v>49</v>
      </c>
      <c r="K251" t="s">
        <v>33</v>
      </c>
      <c r="L251" t="s">
        <v>117</v>
      </c>
      <c r="M251" t="s">
        <v>118</v>
      </c>
      <c r="N251" t="s">
        <v>119</v>
      </c>
      <c r="O251" t="s">
        <v>42</v>
      </c>
      <c r="P251" t="s">
        <v>43</v>
      </c>
      <c r="Q251" t="s">
        <v>44</v>
      </c>
      <c r="R251" t="s">
        <v>114</v>
      </c>
      <c r="S251">
        <f>IF(enquiry_analysis_data[[#This Row],[enquiry_status]]="Converted",1,0)</f>
        <v>0</v>
      </c>
      <c r="T251" t="s">
        <v>28</v>
      </c>
    </row>
    <row r="252" spans="1:20" x14ac:dyDescent="0.3">
      <c r="A252">
        <v>431</v>
      </c>
      <c r="B252" s="1">
        <v>45997.88554398148</v>
      </c>
      <c r="C252" s="1" t="str">
        <f>TEXT(enquiry_analysis_data[[#This Row],[enquiry_date]],"mmmm-yyyy")</f>
        <v>December-2025</v>
      </c>
      <c r="D252">
        <f>YEAR(enquiry_analysis_data[[#This Row],[enquiry_date]])</f>
        <v>2025</v>
      </c>
      <c r="E252">
        <f>MONTH(enquiry_analysis_data[[#This Row],[enquiry_date]])</f>
        <v>12</v>
      </c>
      <c r="F252" t="s">
        <v>175</v>
      </c>
      <c r="G252" t="s">
        <v>550</v>
      </c>
      <c r="H252" s="2">
        <v>9000000428</v>
      </c>
      <c r="I252" t="s">
        <v>71</v>
      </c>
      <c r="J252" t="s">
        <v>128</v>
      </c>
      <c r="K252" t="s">
        <v>33</v>
      </c>
      <c r="L252" t="s">
        <v>154</v>
      </c>
      <c r="M252" t="s">
        <v>155</v>
      </c>
      <c r="N252" t="s">
        <v>156</v>
      </c>
      <c r="O252" t="s">
        <v>42</v>
      </c>
      <c r="P252" t="s">
        <v>43</v>
      </c>
      <c r="Q252" t="s">
        <v>53</v>
      </c>
      <c r="R252" t="s">
        <v>45</v>
      </c>
      <c r="S252">
        <f>IF(enquiry_analysis_data[[#This Row],[enquiry_status]]="Converted",1,0)</f>
        <v>0</v>
      </c>
      <c r="T252" t="s">
        <v>28</v>
      </c>
    </row>
    <row r="253" spans="1:20" x14ac:dyDescent="0.3">
      <c r="A253">
        <v>482</v>
      </c>
      <c r="B253" s="1">
        <v>45999.577893518515</v>
      </c>
      <c r="C253" s="1" t="str">
        <f>TEXT(enquiry_analysis_data[[#This Row],[enquiry_date]],"mmmm-yyyy")</f>
        <v>December-2025</v>
      </c>
      <c r="D253">
        <f>YEAR(enquiry_analysis_data[[#This Row],[enquiry_date]])</f>
        <v>2025</v>
      </c>
      <c r="E253">
        <f>MONTH(enquiry_analysis_data[[#This Row],[enquiry_date]])</f>
        <v>12</v>
      </c>
      <c r="F253" t="s">
        <v>551</v>
      </c>
      <c r="G253" t="s">
        <v>552</v>
      </c>
      <c r="H253" s="2">
        <v>9000000479</v>
      </c>
      <c r="I253" t="s">
        <v>59</v>
      </c>
      <c r="J253" t="s">
        <v>128</v>
      </c>
      <c r="K253" t="s">
        <v>20</v>
      </c>
      <c r="L253" t="s">
        <v>78</v>
      </c>
      <c r="M253" t="s">
        <v>79</v>
      </c>
      <c r="N253" t="s">
        <v>80</v>
      </c>
      <c r="O253" t="s">
        <v>42</v>
      </c>
      <c r="P253" t="s">
        <v>43</v>
      </c>
      <c r="Q253" t="s">
        <v>63</v>
      </c>
      <c r="R253" t="s">
        <v>27</v>
      </c>
      <c r="S253">
        <f>IF(enquiry_analysis_data[[#This Row],[enquiry_status]]="Converted",1,0)</f>
        <v>0</v>
      </c>
      <c r="T253" t="s">
        <v>28</v>
      </c>
    </row>
    <row r="254" spans="1:20" x14ac:dyDescent="0.3">
      <c r="A254">
        <v>237</v>
      </c>
      <c r="B254" s="1">
        <v>46001.131921296299</v>
      </c>
      <c r="C254" s="1" t="str">
        <f>TEXT(enquiry_analysis_data[[#This Row],[enquiry_date]],"mmmm-yyyy")</f>
        <v>December-2025</v>
      </c>
      <c r="D254">
        <f>YEAR(enquiry_analysis_data[[#This Row],[enquiry_date]])</f>
        <v>2025</v>
      </c>
      <c r="E254">
        <f>MONTH(enquiry_analysis_data[[#This Row],[enquiry_date]])</f>
        <v>12</v>
      </c>
      <c r="F254" t="s">
        <v>553</v>
      </c>
      <c r="G254" t="s">
        <v>554</v>
      </c>
      <c r="H254" s="2">
        <v>9000000234</v>
      </c>
      <c r="I254" t="s">
        <v>123</v>
      </c>
      <c r="J254" t="s">
        <v>49</v>
      </c>
      <c r="K254" t="s">
        <v>94</v>
      </c>
      <c r="L254" t="s">
        <v>78</v>
      </c>
      <c r="M254" t="s">
        <v>79</v>
      </c>
      <c r="N254" t="s">
        <v>80</v>
      </c>
      <c r="O254" t="s">
        <v>42</v>
      </c>
      <c r="P254" t="s">
        <v>36</v>
      </c>
      <c r="Q254" t="s">
        <v>37</v>
      </c>
      <c r="R254" t="s">
        <v>68</v>
      </c>
      <c r="S254">
        <f>IF(enquiry_analysis_data[[#This Row],[enquiry_status]]="Converted",1,0)</f>
        <v>1</v>
      </c>
      <c r="T254" t="s">
        <v>28</v>
      </c>
    </row>
    <row r="255" spans="1:20" x14ac:dyDescent="0.3">
      <c r="A255">
        <v>60</v>
      </c>
      <c r="B255" s="1">
        <v>46001.476655092592</v>
      </c>
      <c r="C255" s="1" t="str">
        <f>TEXT(enquiry_analysis_data[[#This Row],[enquiry_date]],"mmmm-yyyy")</f>
        <v>December-2025</v>
      </c>
      <c r="D255">
        <f>YEAR(enquiry_analysis_data[[#This Row],[enquiry_date]])</f>
        <v>2025</v>
      </c>
      <c r="E255">
        <f>MONTH(enquiry_analysis_data[[#This Row],[enquiry_date]])</f>
        <v>12</v>
      </c>
      <c r="F255" t="s">
        <v>555</v>
      </c>
      <c r="G255" t="s">
        <v>556</v>
      </c>
      <c r="H255" s="2">
        <v>9000000057</v>
      </c>
      <c r="I255" t="s">
        <v>77</v>
      </c>
      <c r="J255" t="s">
        <v>32</v>
      </c>
      <c r="K255" t="s">
        <v>33</v>
      </c>
      <c r="L255" t="s">
        <v>50</v>
      </c>
      <c r="M255" t="s">
        <v>51</v>
      </c>
      <c r="N255" t="s">
        <v>23</v>
      </c>
      <c r="O255" t="s">
        <v>42</v>
      </c>
      <c r="P255" t="s">
        <v>43</v>
      </c>
      <c r="Q255" t="s">
        <v>141</v>
      </c>
      <c r="R255" t="s">
        <v>56</v>
      </c>
      <c r="S255">
        <f>IF(enquiry_analysis_data[[#This Row],[enquiry_status]]="Converted",1,0)</f>
        <v>0</v>
      </c>
      <c r="T255" t="s">
        <v>28</v>
      </c>
    </row>
    <row r="256" spans="1:20" x14ac:dyDescent="0.3">
      <c r="A256">
        <v>426</v>
      </c>
      <c r="B256" s="1">
        <v>46002.587870370371</v>
      </c>
      <c r="C256" s="1" t="str">
        <f>TEXT(enquiry_analysis_data[[#This Row],[enquiry_date]],"mmmm-yyyy")</f>
        <v>December-2025</v>
      </c>
      <c r="D256">
        <f>YEAR(enquiry_analysis_data[[#This Row],[enquiry_date]])</f>
        <v>2025</v>
      </c>
      <c r="E256">
        <f>MONTH(enquiry_analysis_data[[#This Row],[enquiry_date]])</f>
        <v>12</v>
      </c>
      <c r="F256" t="s">
        <v>81</v>
      </c>
      <c r="G256" t="s">
        <v>557</v>
      </c>
      <c r="H256" s="2">
        <v>9000000423</v>
      </c>
      <c r="I256" t="s">
        <v>93</v>
      </c>
      <c r="J256" t="s">
        <v>49</v>
      </c>
      <c r="K256" t="s">
        <v>20</v>
      </c>
      <c r="L256" t="s">
        <v>60</v>
      </c>
      <c r="M256" t="s">
        <v>61</v>
      </c>
      <c r="N256" t="s">
        <v>62</v>
      </c>
      <c r="O256" t="s">
        <v>24</v>
      </c>
      <c r="P256" t="s">
        <v>52</v>
      </c>
      <c r="Q256" t="s">
        <v>53</v>
      </c>
      <c r="R256" t="s">
        <v>114</v>
      </c>
      <c r="S256">
        <f>IF(enquiry_analysis_data[[#This Row],[enquiry_status]]="Converted",1,0)</f>
        <v>0</v>
      </c>
      <c r="T256" t="s">
        <v>28</v>
      </c>
    </row>
    <row r="257" spans="1:20" x14ac:dyDescent="0.3">
      <c r="A257">
        <v>78</v>
      </c>
      <c r="B257" s="1">
        <v>46002.900046296294</v>
      </c>
      <c r="C257" s="1" t="str">
        <f>TEXT(enquiry_analysis_data[[#This Row],[enquiry_date]],"mmmm-yyyy")</f>
        <v>December-2025</v>
      </c>
      <c r="D257">
        <f>YEAR(enquiry_analysis_data[[#This Row],[enquiry_date]])</f>
        <v>2025</v>
      </c>
      <c r="E257">
        <f>MONTH(enquiry_analysis_data[[#This Row],[enquiry_date]])</f>
        <v>12</v>
      </c>
      <c r="F257" t="s">
        <v>467</v>
      </c>
      <c r="G257" t="s">
        <v>558</v>
      </c>
      <c r="H257" s="2">
        <v>9000000075</v>
      </c>
      <c r="I257" t="s">
        <v>88</v>
      </c>
      <c r="J257" t="s">
        <v>19</v>
      </c>
      <c r="K257" t="s">
        <v>20</v>
      </c>
      <c r="L257" t="s">
        <v>117</v>
      </c>
      <c r="M257" t="s">
        <v>118</v>
      </c>
      <c r="N257" t="s">
        <v>119</v>
      </c>
      <c r="O257" t="s">
        <v>42</v>
      </c>
      <c r="P257" t="s">
        <v>36</v>
      </c>
      <c r="Q257" t="s">
        <v>53</v>
      </c>
      <c r="R257" t="s">
        <v>68</v>
      </c>
      <c r="S257">
        <f>IF(enquiry_analysis_data[[#This Row],[enquiry_status]]="Converted",1,0)</f>
        <v>1</v>
      </c>
      <c r="T257" t="s">
        <v>28</v>
      </c>
    </row>
    <row r="258" spans="1:20" x14ac:dyDescent="0.3">
      <c r="A258">
        <v>423</v>
      </c>
      <c r="B258" s="1">
        <v>46003.937789351854</v>
      </c>
      <c r="C258" s="1" t="str">
        <f>TEXT(enquiry_analysis_data[[#This Row],[enquiry_date]],"mmmm-yyyy")</f>
        <v>December-2025</v>
      </c>
      <c r="D258">
        <f>YEAR(enquiry_analysis_data[[#This Row],[enquiry_date]])</f>
        <v>2025</v>
      </c>
      <c r="E258">
        <f>MONTH(enquiry_analysis_data[[#This Row],[enquiry_date]])</f>
        <v>12</v>
      </c>
      <c r="F258" t="s">
        <v>559</v>
      </c>
      <c r="G258" t="s">
        <v>560</v>
      </c>
      <c r="H258" s="2">
        <v>9000000420</v>
      </c>
      <c r="I258" t="s">
        <v>77</v>
      </c>
      <c r="J258" t="s">
        <v>19</v>
      </c>
      <c r="K258" t="s">
        <v>33</v>
      </c>
      <c r="L258" t="s">
        <v>60</v>
      </c>
      <c r="M258" t="s">
        <v>61</v>
      </c>
      <c r="N258" t="s">
        <v>62</v>
      </c>
      <c r="O258" t="s">
        <v>42</v>
      </c>
      <c r="P258" t="s">
        <v>43</v>
      </c>
      <c r="Q258" t="s">
        <v>53</v>
      </c>
      <c r="R258" t="s">
        <v>68</v>
      </c>
      <c r="S258">
        <f>IF(enquiry_analysis_data[[#This Row],[enquiry_status]]="Converted",1,0)</f>
        <v>1</v>
      </c>
      <c r="T258" t="s">
        <v>28</v>
      </c>
    </row>
    <row r="259" spans="1:20" x14ac:dyDescent="0.3">
      <c r="A259">
        <v>13</v>
      </c>
      <c r="B259" s="1">
        <v>46004.726331018515</v>
      </c>
      <c r="C259" s="1" t="str">
        <f>TEXT(enquiry_analysis_data[[#This Row],[enquiry_date]],"mmmm-yyyy")</f>
        <v>December-2025</v>
      </c>
      <c r="D259">
        <f>YEAR(enquiry_analysis_data[[#This Row],[enquiry_date]])</f>
        <v>2025</v>
      </c>
      <c r="E259">
        <f>MONTH(enquiry_analysis_data[[#This Row],[enquiry_date]])</f>
        <v>12</v>
      </c>
      <c r="F259" t="s">
        <v>561</v>
      </c>
      <c r="G259" t="s">
        <v>562</v>
      </c>
      <c r="H259" s="2">
        <v>9000000010</v>
      </c>
      <c r="I259" t="s">
        <v>93</v>
      </c>
      <c r="J259" t="s">
        <v>32</v>
      </c>
      <c r="K259" t="s">
        <v>67</v>
      </c>
      <c r="L259" t="s">
        <v>154</v>
      </c>
      <c r="M259" t="s">
        <v>155</v>
      </c>
      <c r="N259" t="s">
        <v>156</v>
      </c>
      <c r="O259" t="s">
        <v>42</v>
      </c>
      <c r="P259" t="s">
        <v>43</v>
      </c>
      <c r="Q259" t="s">
        <v>26</v>
      </c>
      <c r="R259" t="s">
        <v>68</v>
      </c>
      <c r="S259">
        <f>IF(enquiry_analysis_data[[#This Row],[enquiry_status]]="Converted",1,0)</f>
        <v>1</v>
      </c>
      <c r="T259" t="s">
        <v>28</v>
      </c>
    </row>
    <row r="260" spans="1:20" x14ac:dyDescent="0.3">
      <c r="A260">
        <v>306</v>
      </c>
      <c r="B260" s="1">
        <v>46004.873773148145</v>
      </c>
      <c r="C260" s="1" t="str">
        <f>TEXT(enquiry_analysis_data[[#This Row],[enquiry_date]],"mmmm-yyyy")</f>
        <v>December-2025</v>
      </c>
      <c r="D260">
        <f>YEAR(enquiry_analysis_data[[#This Row],[enquiry_date]])</f>
        <v>2025</v>
      </c>
      <c r="E260">
        <f>MONTH(enquiry_analysis_data[[#This Row],[enquiry_date]])</f>
        <v>12</v>
      </c>
      <c r="F260" t="s">
        <v>563</v>
      </c>
      <c r="G260" t="s">
        <v>564</v>
      </c>
      <c r="H260" s="2">
        <v>9000000303</v>
      </c>
      <c r="I260" t="s">
        <v>93</v>
      </c>
      <c r="J260" t="s">
        <v>19</v>
      </c>
      <c r="K260" t="s">
        <v>20</v>
      </c>
      <c r="L260" t="s">
        <v>72</v>
      </c>
      <c r="M260" t="s">
        <v>73</v>
      </c>
      <c r="N260" t="s">
        <v>74</v>
      </c>
      <c r="O260" t="s">
        <v>42</v>
      </c>
      <c r="P260" t="s">
        <v>25</v>
      </c>
      <c r="Q260" t="s">
        <v>26</v>
      </c>
      <c r="R260" t="s">
        <v>68</v>
      </c>
      <c r="S260">
        <f>IF(enquiry_analysis_data[[#This Row],[enquiry_status]]="Converted",1,0)</f>
        <v>1</v>
      </c>
      <c r="T260" t="s">
        <v>28</v>
      </c>
    </row>
    <row r="261" spans="1:20" x14ac:dyDescent="0.3">
      <c r="A261">
        <v>490</v>
      </c>
      <c r="B261" s="1">
        <v>46004.994016203702</v>
      </c>
      <c r="C261" s="1" t="str">
        <f>TEXT(enquiry_analysis_data[[#This Row],[enquiry_date]],"mmmm-yyyy")</f>
        <v>December-2025</v>
      </c>
      <c r="D261">
        <f>YEAR(enquiry_analysis_data[[#This Row],[enquiry_date]])</f>
        <v>2025</v>
      </c>
      <c r="E261">
        <f>MONTH(enquiry_analysis_data[[#This Row],[enquiry_date]])</f>
        <v>12</v>
      </c>
      <c r="F261" t="s">
        <v>16</v>
      </c>
      <c r="G261" t="s">
        <v>565</v>
      </c>
      <c r="H261" s="2">
        <v>9000000487</v>
      </c>
      <c r="I261" t="s">
        <v>48</v>
      </c>
      <c r="J261" t="s">
        <v>128</v>
      </c>
      <c r="K261" t="s">
        <v>20</v>
      </c>
      <c r="L261" t="s">
        <v>144</v>
      </c>
      <c r="M261" t="s">
        <v>145</v>
      </c>
      <c r="N261" t="s">
        <v>101</v>
      </c>
      <c r="O261" t="s">
        <v>42</v>
      </c>
      <c r="P261" t="s">
        <v>36</v>
      </c>
      <c r="Q261" t="s">
        <v>37</v>
      </c>
      <c r="R261" t="s">
        <v>56</v>
      </c>
      <c r="S261">
        <f>IF(enquiry_analysis_data[[#This Row],[enquiry_status]]="Converted",1,0)</f>
        <v>0</v>
      </c>
      <c r="T261" t="s">
        <v>28</v>
      </c>
    </row>
    <row r="262" spans="1:20" x14ac:dyDescent="0.3">
      <c r="A262">
        <v>476</v>
      </c>
      <c r="B262" s="1">
        <v>46007.255011574074</v>
      </c>
      <c r="C262" s="1" t="str">
        <f>TEXT(enquiry_analysis_data[[#This Row],[enquiry_date]],"mmmm-yyyy")</f>
        <v>December-2025</v>
      </c>
      <c r="D262">
        <f>YEAR(enquiry_analysis_data[[#This Row],[enquiry_date]])</f>
        <v>2025</v>
      </c>
      <c r="E262">
        <f>MONTH(enquiry_analysis_data[[#This Row],[enquiry_date]])</f>
        <v>12</v>
      </c>
      <c r="F262" t="s">
        <v>142</v>
      </c>
      <c r="G262" t="s">
        <v>566</v>
      </c>
      <c r="H262" s="2">
        <v>9000000473</v>
      </c>
      <c r="I262" t="s">
        <v>18</v>
      </c>
      <c r="J262" t="s">
        <v>128</v>
      </c>
      <c r="K262" t="s">
        <v>94</v>
      </c>
      <c r="L262" t="s">
        <v>136</v>
      </c>
      <c r="M262" t="s">
        <v>137</v>
      </c>
      <c r="N262" t="s">
        <v>62</v>
      </c>
      <c r="O262" t="s">
        <v>24</v>
      </c>
      <c r="P262" t="s">
        <v>36</v>
      </c>
      <c r="Q262" t="s">
        <v>63</v>
      </c>
      <c r="R262" t="s">
        <v>68</v>
      </c>
      <c r="S262">
        <f>IF(enquiry_analysis_data[[#This Row],[enquiry_status]]="Converted",1,0)</f>
        <v>1</v>
      </c>
      <c r="T262" t="s">
        <v>28</v>
      </c>
    </row>
    <row r="263" spans="1:20" x14ac:dyDescent="0.3">
      <c r="A263">
        <v>200</v>
      </c>
      <c r="B263" s="1">
        <v>46008.327673611115</v>
      </c>
      <c r="C263" s="1" t="str">
        <f>TEXT(enquiry_analysis_data[[#This Row],[enquiry_date]],"mmmm-yyyy")</f>
        <v>December-2025</v>
      </c>
      <c r="D263">
        <f>YEAR(enquiry_analysis_data[[#This Row],[enquiry_date]])</f>
        <v>2025</v>
      </c>
      <c r="E263">
        <f>MONTH(enquiry_analysis_data[[#This Row],[enquiry_date]])</f>
        <v>12</v>
      </c>
      <c r="F263" t="s">
        <v>567</v>
      </c>
      <c r="G263" t="s">
        <v>568</v>
      </c>
      <c r="H263" s="2">
        <v>9000000197</v>
      </c>
      <c r="I263" t="s">
        <v>123</v>
      </c>
      <c r="J263" t="s">
        <v>128</v>
      </c>
      <c r="K263" t="s">
        <v>33</v>
      </c>
      <c r="L263" t="s">
        <v>144</v>
      </c>
      <c r="M263" t="s">
        <v>145</v>
      </c>
      <c r="N263" t="s">
        <v>101</v>
      </c>
      <c r="O263" t="s">
        <v>42</v>
      </c>
      <c r="P263" t="s">
        <v>43</v>
      </c>
      <c r="Q263" t="s">
        <v>53</v>
      </c>
      <c r="R263" t="s">
        <v>114</v>
      </c>
      <c r="S263">
        <f>IF(enquiry_analysis_data[[#This Row],[enquiry_status]]="Converted",1,0)</f>
        <v>0</v>
      </c>
      <c r="T263" t="s">
        <v>28</v>
      </c>
    </row>
    <row r="264" spans="1:20" x14ac:dyDescent="0.3">
      <c r="A264">
        <v>98</v>
      </c>
      <c r="B264" s="1">
        <v>46009.386874999997</v>
      </c>
      <c r="C264" s="1" t="str">
        <f>TEXT(enquiry_analysis_data[[#This Row],[enquiry_date]],"mmmm-yyyy")</f>
        <v>December-2025</v>
      </c>
      <c r="D264">
        <f>YEAR(enquiry_analysis_data[[#This Row],[enquiry_date]])</f>
        <v>2025</v>
      </c>
      <c r="E264">
        <f>MONTH(enquiry_analysis_data[[#This Row],[enquiry_date]])</f>
        <v>12</v>
      </c>
      <c r="F264" t="s">
        <v>64</v>
      </c>
      <c r="G264" t="s">
        <v>569</v>
      </c>
      <c r="H264" s="2">
        <v>9000000095</v>
      </c>
      <c r="I264" t="s">
        <v>31</v>
      </c>
      <c r="J264" t="s">
        <v>104</v>
      </c>
      <c r="K264" t="s">
        <v>105</v>
      </c>
      <c r="L264" t="s">
        <v>245</v>
      </c>
      <c r="M264" t="s">
        <v>246</v>
      </c>
      <c r="N264" t="s">
        <v>156</v>
      </c>
      <c r="O264" t="s">
        <v>42</v>
      </c>
      <c r="P264" t="s">
        <v>52</v>
      </c>
      <c r="Q264" t="s">
        <v>138</v>
      </c>
      <c r="R264" t="s">
        <v>45</v>
      </c>
      <c r="S264">
        <f>IF(enquiry_analysis_data[[#This Row],[enquiry_status]]="Converted",1,0)</f>
        <v>0</v>
      </c>
      <c r="T264" t="s">
        <v>28</v>
      </c>
    </row>
    <row r="265" spans="1:20" x14ac:dyDescent="0.3">
      <c r="A265">
        <v>130</v>
      </c>
      <c r="B265" s="1">
        <v>46009.486932870372</v>
      </c>
      <c r="C265" s="1" t="str">
        <f>TEXT(enquiry_analysis_data[[#This Row],[enquiry_date]],"mmmm-yyyy")</f>
        <v>December-2025</v>
      </c>
      <c r="D265">
        <f>YEAR(enquiry_analysis_data[[#This Row],[enquiry_date]])</f>
        <v>2025</v>
      </c>
      <c r="E265">
        <f>MONTH(enquiry_analysis_data[[#This Row],[enquiry_date]])</f>
        <v>12</v>
      </c>
      <c r="F265" t="s">
        <v>570</v>
      </c>
      <c r="G265" t="s">
        <v>571</v>
      </c>
      <c r="H265" s="2">
        <v>9000000127</v>
      </c>
      <c r="I265" t="s">
        <v>93</v>
      </c>
      <c r="J265" t="s">
        <v>19</v>
      </c>
      <c r="K265" t="s">
        <v>20</v>
      </c>
      <c r="L265" t="s">
        <v>50</v>
      </c>
      <c r="M265" t="s">
        <v>51</v>
      </c>
      <c r="N265" t="s">
        <v>23</v>
      </c>
      <c r="O265" t="s">
        <v>42</v>
      </c>
      <c r="P265" t="s">
        <v>52</v>
      </c>
      <c r="Q265" t="s">
        <v>63</v>
      </c>
      <c r="R265" t="s">
        <v>56</v>
      </c>
      <c r="S265">
        <f>IF(enquiry_analysis_data[[#This Row],[enquiry_status]]="Converted",1,0)</f>
        <v>0</v>
      </c>
      <c r="T265" t="s">
        <v>28</v>
      </c>
    </row>
    <row r="266" spans="1:20" x14ac:dyDescent="0.3">
      <c r="A266">
        <v>446</v>
      </c>
      <c r="B266" s="1">
        <v>46011.068564814814</v>
      </c>
      <c r="C266" s="1" t="str">
        <f>TEXT(enquiry_analysis_data[[#This Row],[enquiry_date]],"mmmm-yyyy")</f>
        <v>December-2025</v>
      </c>
      <c r="D266">
        <f>YEAR(enquiry_analysis_data[[#This Row],[enquiry_date]])</f>
        <v>2025</v>
      </c>
      <c r="E266">
        <f>MONTH(enquiry_analysis_data[[#This Row],[enquiry_date]])</f>
        <v>12</v>
      </c>
      <c r="F266" t="s">
        <v>572</v>
      </c>
      <c r="G266" t="s">
        <v>573</v>
      </c>
      <c r="H266" s="2">
        <v>9000000443</v>
      </c>
      <c r="I266" t="s">
        <v>31</v>
      </c>
      <c r="J266" t="s">
        <v>19</v>
      </c>
      <c r="K266" t="s">
        <v>20</v>
      </c>
      <c r="L266" t="s">
        <v>136</v>
      </c>
      <c r="M266" t="s">
        <v>137</v>
      </c>
      <c r="N266" t="s">
        <v>62</v>
      </c>
      <c r="O266" t="s">
        <v>42</v>
      </c>
      <c r="P266" t="s">
        <v>36</v>
      </c>
      <c r="Q266" t="s">
        <v>63</v>
      </c>
      <c r="R266" t="s">
        <v>68</v>
      </c>
      <c r="S266">
        <f>IF(enquiry_analysis_data[[#This Row],[enquiry_status]]="Converted",1,0)</f>
        <v>1</v>
      </c>
      <c r="T266" t="s">
        <v>28</v>
      </c>
    </row>
    <row r="267" spans="1:20" x14ac:dyDescent="0.3">
      <c r="A267">
        <v>20</v>
      </c>
      <c r="B267" s="1">
        <v>46011.550405092596</v>
      </c>
      <c r="C267" s="1" t="str">
        <f>TEXT(enquiry_analysis_data[[#This Row],[enquiry_date]],"mmmm-yyyy")</f>
        <v>December-2025</v>
      </c>
      <c r="D267">
        <f>YEAR(enquiry_analysis_data[[#This Row],[enquiry_date]])</f>
        <v>2025</v>
      </c>
      <c r="E267">
        <f>MONTH(enquiry_analysis_data[[#This Row],[enquiry_date]])</f>
        <v>12</v>
      </c>
      <c r="F267" t="s">
        <v>201</v>
      </c>
      <c r="G267" t="s">
        <v>574</v>
      </c>
      <c r="H267" s="2">
        <v>9000000017</v>
      </c>
      <c r="I267" t="s">
        <v>77</v>
      </c>
      <c r="J267" t="s">
        <v>49</v>
      </c>
      <c r="K267" t="s">
        <v>20</v>
      </c>
      <c r="L267" t="s">
        <v>40</v>
      </c>
      <c r="M267" t="s">
        <v>41</v>
      </c>
      <c r="N267" t="s">
        <v>41</v>
      </c>
      <c r="O267" t="s">
        <v>42</v>
      </c>
      <c r="P267" t="s">
        <v>25</v>
      </c>
      <c r="Q267" t="s">
        <v>141</v>
      </c>
      <c r="R267" t="s">
        <v>68</v>
      </c>
      <c r="S267">
        <f>IF(enquiry_analysis_data[[#This Row],[enquiry_status]]="Converted",1,0)</f>
        <v>1</v>
      </c>
      <c r="T267" t="s">
        <v>28</v>
      </c>
    </row>
    <row r="268" spans="1:20" x14ac:dyDescent="0.3">
      <c r="A268">
        <v>143</v>
      </c>
      <c r="B268" s="1">
        <v>46013.516527777778</v>
      </c>
      <c r="C268" s="1" t="str">
        <f>TEXT(enquiry_analysis_data[[#This Row],[enquiry_date]],"mmmm-yyyy")</f>
        <v>December-2025</v>
      </c>
      <c r="D268">
        <f>YEAR(enquiry_analysis_data[[#This Row],[enquiry_date]])</f>
        <v>2025</v>
      </c>
      <c r="E268">
        <f>MONTH(enquiry_analysis_data[[#This Row],[enquiry_date]])</f>
        <v>12</v>
      </c>
      <c r="F268" t="s">
        <v>553</v>
      </c>
      <c r="G268" t="s">
        <v>575</v>
      </c>
      <c r="H268" s="2">
        <v>9000000140</v>
      </c>
      <c r="I268" t="s">
        <v>66</v>
      </c>
      <c r="J268" t="s">
        <v>128</v>
      </c>
      <c r="K268" t="s">
        <v>94</v>
      </c>
      <c r="L268" t="s">
        <v>154</v>
      </c>
      <c r="M268" t="s">
        <v>155</v>
      </c>
      <c r="N268" t="s">
        <v>156</v>
      </c>
      <c r="O268" t="s">
        <v>42</v>
      </c>
      <c r="P268" t="s">
        <v>52</v>
      </c>
      <c r="Q268" t="s">
        <v>53</v>
      </c>
      <c r="R268" t="s">
        <v>194</v>
      </c>
      <c r="S268">
        <f>IF(enquiry_analysis_data[[#This Row],[enquiry_status]]="Converted",1,0)</f>
        <v>0</v>
      </c>
      <c r="T268" t="s">
        <v>28</v>
      </c>
    </row>
    <row r="269" spans="1:20" x14ac:dyDescent="0.3">
      <c r="A269">
        <v>318</v>
      </c>
      <c r="B269" s="1">
        <v>46013.781238425923</v>
      </c>
      <c r="C269" s="1" t="str">
        <f>TEXT(enquiry_analysis_data[[#This Row],[enquiry_date]],"mmmm-yyyy")</f>
        <v>December-2025</v>
      </c>
      <c r="D269">
        <f>YEAR(enquiry_analysis_data[[#This Row],[enquiry_date]])</f>
        <v>2025</v>
      </c>
      <c r="E269">
        <f>MONTH(enquiry_analysis_data[[#This Row],[enquiry_date]])</f>
        <v>12</v>
      </c>
      <c r="F269" t="s">
        <v>375</v>
      </c>
      <c r="G269" t="s">
        <v>576</v>
      </c>
      <c r="H269" s="2">
        <v>9000000315</v>
      </c>
      <c r="I269" t="s">
        <v>93</v>
      </c>
      <c r="J269" t="s">
        <v>49</v>
      </c>
      <c r="K269" t="s">
        <v>20</v>
      </c>
      <c r="L269" t="s">
        <v>72</v>
      </c>
      <c r="M269" t="s">
        <v>73</v>
      </c>
      <c r="N269" t="s">
        <v>74</v>
      </c>
      <c r="O269" t="s">
        <v>24</v>
      </c>
      <c r="P269" t="s">
        <v>52</v>
      </c>
      <c r="Q269" t="s">
        <v>83</v>
      </c>
      <c r="R269" t="s">
        <v>194</v>
      </c>
      <c r="S269">
        <f>IF(enquiry_analysis_data[[#This Row],[enquiry_status]]="Converted",1,0)</f>
        <v>0</v>
      </c>
      <c r="T269" t="s">
        <v>28</v>
      </c>
    </row>
    <row r="270" spans="1:20" x14ac:dyDescent="0.3">
      <c r="A270">
        <v>472</v>
      </c>
      <c r="B270" s="1">
        <v>46014.103437500002</v>
      </c>
      <c r="C270" s="1" t="str">
        <f>TEXT(enquiry_analysis_data[[#This Row],[enquiry_date]],"mmmm-yyyy")</f>
        <v>December-2025</v>
      </c>
      <c r="D270">
        <f>YEAR(enquiry_analysis_data[[#This Row],[enquiry_date]])</f>
        <v>2025</v>
      </c>
      <c r="E270">
        <f>MONTH(enquiry_analysis_data[[#This Row],[enquiry_date]])</f>
        <v>12</v>
      </c>
      <c r="F270" t="s">
        <v>577</v>
      </c>
      <c r="G270" t="s">
        <v>578</v>
      </c>
      <c r="H270" s="2">
        <v>9000000469</v>
      </c>
      <c r="I270" t="s">
        <v>18</v>
      </c>
      <c r="J270" t="s">
        <v>19</v>
      </c>
      <c r="K270" t="s">
        <v>20</v>
      </c>
      <c r="L270" t="s">
        <v>154</v>
      </c>
      <c r="M270" t="s">
        <v>155</v>
      </c>
      <c r="N270" t="s">
        <v>156</v>
      </c>
      <c r="O270" t="s">
        <v>24</v>
      </c>
      <c r="P270" t="s">
        <v>52</v>
      </c>
      <c r="Q270" t="s">
        <v>53</v>
      </c>
      <c r="R270" t="s">
        <v>56</v>
      </c>
      <c r="S270">
        <f>IF(enquiry_analysis_data[[#This Row],[enquiry_status]]="Converted",1,0)</f>
        <v>0</v>
      </c>
      <c r="T270" t="s">
        <v>28</v>
      </c>
    </row>
    <row r="271" spans="1:20" x14ac:dyDescent="0.3">
      <c r="A271">
        <v>406</v>
      </c>
      <c r="B271" s="1">
        <v>46014.773101851853</v>
      </c>
      <c r="C271" s="1" t="str">
        <f>TEXT(enquiry_analysis_data[[#This Row],[enquiry_date]],"mmmm-yyyy")</f>
        <v>December-2025</v>
      </c>
      <c r="D271">
        <f>YEAR(enquiry_analysis_data[[#This Row],[enquiry_date]])</f>
        <v>2025</v>
      </c>
      <c r="E271">
        <f>MONTH(enquiry_analysis_data[[#This Row],[enquiry_date]])</f>
        <v>12</v>
      </c>
      <c r="F271" t="s">
        <v>579</v>
      </c>
      <c r="G271" t="s">
        <v>580</v>
      </c>
      <c r="H271" s="2">
        <v>9000000403</v>
      </c>
      <c r="I271" t="s">
        <v>123</v>
      </c>
      <c r="J271" t="s">
        <v>19</v>
      </c>
      <c r="K271" t="s">
        <v>20</v>
      </c>
      <c r="L271" t="s">
        <v>144</v>
      </c>
      <c r="M271" t="s">
        <v>145</v>
      </c>
      <c r="N271" t="s">
        <v>101</v>
      </c>
      <c r="O271" t="s">
        <v>42</v>
      </c>
      <c r="P271" t="s">
        <v>43</v>
      </c>
      <c r="Q271" t="s">
        <v>53</v>
      </c>
      <c r="R271" t="s">
        <v>68</v>
      </c>
      <c r="S271">
        <f>IF(enquiry_analysis_data[[#This Row],[enquiry_status]]="Converted",1,0)</f>
        <v>1</v>
      </c>
      <c r="T271" t="s">
        <v>28</v>
      </c>
    </row>
    <row r="272" spans="1:20" x14ac:dyDescent="0.3">
      <c r="A272">
        <v>93</v>
      </c>
      <c r="B272" s="1">
        <v>46015.742824074077</v>
      </c>
      <c r="C272" s="1" t="str">
        <f>TEXT(enquiry_analysis_data[[#This Row],[enquiry_date]],"mmmm-yyyy")</f>
        <v>December-2025</v>
      </c>
      <c r="D272">
        <f>YEAR(enquiry_analysis_data[[#This Row],[enquiry_date]])</f>
        <v>2025</v>
      </c>
      <c r="E272">
        <f>MONTH(enquiry_analysis_data[[#This Row],[enquiry_date]])</f>
        <v>12</v>
      </c>
      <c r="F272" t="s">
        <v>581</v>
      </c>
      <c r="G272" t="s">
        <v>582</v>
      </c>
      <c r="H272" s="2">
        <v>9000000090</v>
      </c>
      <c r="I272" t="s">
        <v>77</v>
      </c>
      <c r="J272" t="s">
        <v>49</v>
      </c>
      <c r="K272" t="s">
        <v>20</v>
      </c>
      <c r="L272" t="s">
        <v>72</v>
      </c>
      <c r="M272" t="s">
        <v>73</v>
      </c>
      <c r="N272" t="s">
        <v>74</v>
      </c>
      <c r="O272" t="s">
        <v>24</v>
      </c>
      <c r="P272" t="s">
        <v>36</v>
      </c>
      <c r="Q272" t="s">
        <v>26</v>
      </c>
      <c r="R272" t="s">
        <v>114</v>
      </c>
      <c r="S272">
        <f>IF(enquiry_analysis_data[[#This Row],[enquiry_status]]="Converted",1,0)</f>
        <v>0</v>
      </c>
      <c r="T272" t="s">
        <v>28</v>
      </c>
    </row>
    <row r="273" spans="1:20" x14ac:dyDescent="0.3">
      <c r="A273">
        <v>438</v>
      </c>
      <c r="B273" s="1">
        <v>46016.315833333334</v>
      </c>
      <c r="C273" s="1" t="str">
        <f>TEXT(enquiry_analysis_data[[#This Row],[enquiry_date]],"mmmm-yyyy")</f>
        <v>December-2025</v>
      </c>
      <c r="D273">
        <f>YEAR(enquiry_analysis_data[[#This Row],[enquiry_date]])</f>
        <v>2025</v>
      </c>
      <c r="E273">
        <f>MONTH(enquiry_analysis_data[[#This Row],[enquiry_date]])</f>
        <v>12</v>
      </c>
      <c r="F273" t="s">
        <v>583</v>
      </c>
      <c r="G273" t="s">
        <v>584</v>
      </c>
      <c r="H273" s="2">
        <v>9000000435</v>
      </c>
      <c r="I273" t="s">
        <v>88</v>
      </c>
      <c r="J273" t="s">
        <v>19</v>
      </c>
      <c r="K273" t="s">
        <v>94</v>
      </c>
      <c r="L273" t="s">
        <v>40</v>
      </c>
      <c r="M273" t="s">
        <v>41</v>
      </c>
      <c r="N273" t="s">
        <v>41</v>
      </c>
      <c r="O273" t="s">
        <v>24</v>
      </c>
      <c r="P273" t="s">
        <v>43</v>
      </c>
      <c r="Q273" t="s">
        <v>26</v>
      </c>
      <c r="R273" t="s">
        <v>45</v>
      </c>
      <c r="S273">
        <f>IF(enquiry_analysis_data[[#This Row],[enquiry_status]]="Converted",1,0)</f>
        <v>0</v>
      </c>
      <c r="T273" t="s">
        <v>28</v>
      </c>
    </row>
    <row r="274" spans="1:20" x14ac:dyDescent="0.3">
      <c r="A274">
        <v>372</v>
      </c>
      <c r="B274" s="1">
        <v>46016.650266203702</v>
      </c>
      <c r="C274" s="1" t="str">
        <f>TEXT(enquiry_analysis_data[[#This Row],[enquiry_date]],"mmmm-yyyy")</f>
        <v>December-2025</v>
      </c>
      <c r="D274">
        <f>YEAR(enquiry_analysis_data[[#This Row],[enquiry_date]])</f>
        <v>2025</v>
      </c>
      <c r="E274">
        <f>MONTH(enquiry_analysis_data[[#This Row],[enquiry_date]])</f>
        <v>12</v>
      </c>
      <c r="F274" t="s">
        <v>447</v>
      </c>
      <c r="G274" t="s">
        <v>585</v>
      </c>
      <c r="H274" s="2">
        <v>9000000369</v>
      </c>
      <c r="I274" t="s">
        <v>18</v>
      </c>
      <c r="J274" t="s">
        <v>128</v>
      </c>
      <c r="K274" t="s">
        <v>67</v>
      </c>
      <c r="L274" t="s">
        <v>154</v>
      </c>
      <c r="M274" t="s">
        <v>155</v>
      </c>
      <c r="N274" t="s">
        <v>156</v>
      </c>
      <c r="O274" t="s">
        <v>24</v>
      </c>
      <c r="P274" t="s">
        <v>25</v>
      </c>
      <c r="Q274" t="s">
        <v>53</v>
      </c>
      <c r="R274" t="s">
        <v>68</v>
      </c>
      <c r="S274">
        <f>IF(enquiry_analysis_data[[#This Row],[enquiry_status]]="Converted",1,0)</f>
        <v>1</v>
      </c>
      <c r="T274" t="s">
        <v>28</v>
      </c>
    </row>
    <row r="275" spans="1:20" x14ac:dyDescent="0.3">
      <c r="A275">
        <v>171</v>
      </c>
      <c r="B275" s="1">
        <v>46017.514837962961</v>
      </c>
      <c r="C275" s="1" t="str">
        <f>TEXT(enquiry_analysis_data[[#This Row],[enquiry_date]],"mmmm-yyyy")</f>
        <v>December-2025</v>
      </c>
      <c r="D275">
        <f>YEAR(enquiry_analysis_data[[#This Row],[enquiry_date]])</f>
        <v>2025</v>
      </c>
      <c r="E275">
        <f>MONTH(enquiry_analysis_data[[#This Row],[enquiry_date]])</f>
        <v>12</v>
      </c>
      <c r="F275" t="s">
        <v>586</v>
      </c>
      <c r="G275" t="s">
        <v>587</v>
      </c>
      <c r="H275" s="2">
        <v>9000000168</v>
      </c>
      <c r="I275" t="s">
        <v>48</v>
      </c>
      <c r="J275" t="s">
        <v>19</v>
      </c>
      <c r="K275" t="s">
        <v>33</v>
      </c>
      <c r="L275" t="s">
        <v>154</v>
      </c>
      <c r="M275" t="s">
        <v>155</v>
      </c>
      <c r="N275" t="s">
        <v>156</v>
      </c>
      <c r="O275" t="s">
        <v>42</v>
      </c>
      <c r="P275" t="s">
        <v>25</v>
      </c>
      <c r="Q275" t="s">
        <v>63</v>
      </c>
      <c r="R275" t="s">
        <v>45</v>
      </c>
      <c r="S275">
        <f>IF(enquiry_analysis_data[[#This Row],[enquiry_status]]="Converted",1,0)</f>
        <v>0</v>
      </c>
      <c r="T275" t="s">
        <v>28</v>
      </c>
    </row>
    <row r="276" spans="1:20" x14ac:dyDescent="0.3">
      <c r="A276">
        <v>134</v>
      </c>
      <c r="B276" s="1">
        <v>46020.198333333334</v>
      </c>
      <c r="C276" s="1" t="str">
        <f>TEXT(enquiry_analysis_data[[#This Row],[enquiry_date]],"mmmm-yyyy")</f>
        <v>December-2025</v>
      </c>
      <c r="D276">
        <f>YEAR(enquiry_analysis_data[[#This Row],[enquiry_date]])</f>
        <v>2025</v>
      </c>
      <c r="E276">
        <f>MONTH(enquiry_analysis_data[[#This Row],[enquiry_date]])</f>
        <v>12</v>
      </c>
      <c r="F276" t="s">
        <v>588</v>
      </c>
      <c r="G276" t="s">
        <v>589</v>
      </c>
      <c r="H276" s="2">
        <v>9000000131</v>
      </c>
      <c r="I276" t="s">
        <v>18</v>
      </c>
      <c r="J276" t="s">
        <v>19</v>
      </c>
      <c r="K276" t="s">
        <v>33</v>
      </c>
      <c r="L276" t="s">
        <v>245</v>
      </c>
      <c r="M276" t="s">
        <v>246</v>
      </c>
      <c r="N276" t="s">
        <v>156</v>
      </c>
      <c r="O276" t="s">
        <v>24</v>
      </c>
      <c r="P276" t="s">
        <v>36</v>
      </c>
      <c r="Q276" t="s">
        <v>26</v>
      </c>
      <c r="R276" t="s">
        <v>68</v>
      </c>
      <c r="S276">
        <f>IF(enquiry_analysis_data[[#This Row],[enquiry_status]]="Converted",1,0)</f>
        <v>1</v>
      </c>
      <c r="T276" t="s">
        <v>28</v>
      </c>
    </row>
    <row r="277" spans="1:20" x14ac:dyDescent="0.3">
      <c r="A277">
        <v>168</v>
      </c>
      <c r="B277" s="1">
        <v>46024.077974537038</v>
      </c>
      <c r="C277" s="1" t="str">
        <f>TEXT(enquiry_analysis_data[[#This Row],[enquiry_date]],"mmmm-yyyy")</f>
        <v>January-2026</v>
      </c>
      <c r="D277">
        <f>YEAR(enquiry_analysis_data[[#This Row],[enquiry_date]])</f>
        <v>2026</v>
      </c>
      <c r="E277">
        <f>MONTH(enquiry_analysis_data[[#This Row],[enquiry_date]])</f>
        <v>1</v>
      </c>
      <c r="F277" t="s">
        <v>590</v>
      </c>
      <c r="G277" t="s">
        <v>591</v>
      </c>
      <c r="H277" s="2">
        <v>9000000165</v>
      </c>
      <c r="I277" t="s">
        <v>18</v>
      </c>
      <c r="J277" t="s">
        <v>32</v>
      </c>
      <c r="K277" t="s">
        <v>67</v>
      </c>
      <c r="L277" t="s">
        <v>111</v>
      </c>
      <c r="M277" t="s">
        <v>112</v>
      </c>
      <c r="N277" t="s">
        <v>113</v>
      </c>
      <c r="O277" t="s">
        <v>24</v>
      </c>
      <c r="P277" t="s">
        <v>36</v>
      </c>
      <c r="Q277" t="s">
        <v>141</v>
      </c>
      <c r="R277" t="s">
        <v>68</v>
      </c>
      <c r="S277">
        <f>IF(enquiry_analysis_data[[#This Row],[enquiry_status]]="Converted",1,0)</f>
        <v>1</v>
      </c>
      <c r="T277" t="s">
        <v>28</v>
      </c>
    </row>
    <row r="278" spans="1:20" x14ac:dyDescent="0.3">
      <c r="A278">
        <v>247</v>
      </c>
      <c r="B278" s="1">
        <v>46024.222870370373</v>
      </c>
      <c r="C278" s="1" t="str">
        <f>TEXT(enquiry_analysis_data[[#This Row],[enquiry_date]],"mmmm-yyyy")</f>
        <v>January-2026</v>
      </c>
      <c r="D278">
        <f>YEAR(enquiry_analysis_data[[#This Row],[enquiry_date]])</f>
        <v>2026</v>
      </c>
      <c r="E278">
        <f>MONTH(enquiry_analysis_data[[#This Row],[enquiry_date]])</f>
        <v>1</v>
      </c>
      <c r="F278" t="s">
        <v>592</v>
      </c>
      <c r="G278" t="s">
        <v>593</v>
      </c>
      <c r="H278" s="2">
        <v>9000000244</v>
      </c>
      <c r="I278" t="s">
        <v>88</v>
      </c>
      <c r="J278" t="s">
        <v>49</v>
      </c>
      <c r="K278" t="s">
        <v>33</v>
      </c>
      <c r="L278" t="s">
        <v>144</v>
      </c>
      <c r="M278" t="s">
        <v>145</v>
      </c>
      <c r="N278" t="s">
        <v>101</v>
      </c>
      <c r="O278" t="s">
        <v>42</v>
      </c>
      <c r="P278" t="s">
        <v>52</v>
      </c>
      <c r="Q278" t="s">
        <v>26</v>
      </c>
      <c r="R278" t="s">
        <v>45</v>
      </c>
      <c r="S278">
        <f>IF(enquiry_analysis_data[[#This Row],[enquiry_status]]="Converted",1,0)</f>
        <v>0</v>
      </c>
      <c r="T278" t="s">
        <v>28</v>
      </c>
    </row>
    <row r="279" spans="1:20" x14ac:dyDescent="0.3">
      <c r="A279">
        <v>480</v>
      </c>
      <c r="B279" s="1">
        <v>46028.562881944446</v>
      </c>
      <c r="C279" s="1" t="str">
        <f>TEXT(enquiry_analysis_data[[#This Row],[enquiry_date]],"mmmm-yyyy")</f>
        <v>January-2026</v>
      </c>
      <c r="D279">
        <f>YEAR(enquiry_analysis_data[[#This Row],[enquiry_date]])</f>
        <v>2026</v>
      </c>
      <c r="E279">
        <f>MONTH(enquiry_analysis_data[[#This Row],[enquiry_date]])</f>
        <v>1</v>
      </c>
      <c r="F279" t="s">
        <v>581</v>
      </c>
      <c r="G279" t="s">
        <v>594</v>
      </c>
      <c r="H279" s="2">
        <v>9000000477</v>
      </c>
      <c r="I279" t="s">
        <v>93</v>
      </c>
      <c r="J279" t="s">
        <v>104</v>
      </c>
      <c r="K279" t="s">
        <v>105</v>
      </c>
      <c r="L279" t="s">
        <v>144</v>
      </c>
      <c r="M279" t="s">
        <v>145</v>
      </c>
      <c r="N279" t="s">
        <v>101</v>
      </c>
      <c r="O279" t="s">
        <v>42</v>
      </c>
      <c r="P279" t="s">
        <v>25</v>
      </c>
      <c r="Q279" t="s">
        <v>53</v>
      </c>
      <c r="R279" t="s">
        <v>68</v>
      </c>
      <c r="S279">
        <f>IF(enquiry_analysis_data[[#This Row],[enquiry_status]]="Converted",1,0)</f>
        <v>1</v>
      </c>
      <c r="T279" t="s">
        <v>28</v>
      </c>
    </row>
    <row r="280" spans="1:20" x14ac:dyDescent="0.3">
      <c r="A280">
        <v>430</v>
      </c>
      <c r="B280" s="1">
        <v>46028.923946759256</v>
      </c>
      <c r="C280" s="1" t="str">
        <f>TEXT(enquiry_analysis_data[[#This Row],[enquiry_date]],"mmmm-yyyy")</f>
        <v>January-2026</v>
      </c>
      <c r="D280">
        <f>YEAR(enquiry_analysis_data[[#This Row],[enquiry_date]])</f>
        <v>2026</v>
      </c>
      <c r="E280">
        <f>MONTH(enquiry_analysis_data[[#This Row],[enquiry_date]])</f>
        <v>1</v>
      </c>
      <c r="F280" t="s">
        <v>595</v>
      </c>
      <c r="G280" t="s">
        <v>596</v>
      </c>
      <c r="H280" s="2">
        <v>9000000427</v>
      </c>
      <c r="I280" t="s">
        <v>48</v>
      </c>
      <c r="J280" t="s">
        <v>49</v>
      </c>
      <c r="K280" t="s">
        <v>94</v>
      </c>
      <c r="L280" t="s">
        <v>144</v>
      </c>
      <c r="M280" t="s">
        <v>145</v>
      </c>
      <c r="N280" t="s">
        <v>101</v>
      </c>
      <c r="O280" t="s">
        <v>42</v>
      </c>
      <c r="P280" t="s">
        <v>25</v>
      </c>
      <c r="Q280" t="s">
        <v>138</v>
      </c>
      <c r="R280" t="s">
        <v>56</v>
      </c>
      <c r="S280">
        <f>IF(enquiry_analysis_data[[#This Row],[enquiry_status]]="Converted",1,0)</f>
        <v>0</v>
      </c>
      <c r="T280" t="s">
        <v>28</v>
      </c>
    </row>
    <row r="281" spans="1:20" x14ac:dyDescent="0.3">
      <c r="A281">
        <v>36</v>
      </c>
      <c r="B281" s="1">
        <v>46029.43822916667</v>
      </c>
      <c r="C281" s="1" t="str">
        <f>TEXT(enquiry_analysis_data[[#This Row],[enquiry_date]],"mmmm-yyyy")</f>
        <v>January-2026</v>
      </c>
      <c r="D281">
        <f>YEAR(enquiry_analysis_data[[#This Row],[enquiry_date]])</f>
        <v>2026</v>
      </c>
      <c r="E281">
        <f>MONTH(enquiry_analysis_data[[#This Row],[enquiry_date]])</f>
        <v>1</v>
      </c>
      <c r="F281" t="s">
        <v>597</v>
      </c>
      <c r="G281" t="s">
        <v>598</v>
      </c>
      <c r="H281" s="2">
        <v>9000000033</v>
      </c>
      <c r="I281" t="s">
        <v>88</v>
      </c>
      <c r="J281" t="s">
        <v>32</v>
      </c>
      <c r="K281" t="s">
        <v>94</v>
      </c>
      <c r="L281" t="s">
        <v>60</v>
      </c>
      <c r="M281" t="s">
        <v>61</v>
      </c>
      <c r="N281" t="s">
        <v>62</v>
      </c>
      <c r="O281" t="s">
        <v>42</v>
      </c>
      <c r="P281" t="s">
        <v>43</v>
      </c>
      <c r="Q281" t="s">
        <v>53</v>
      </c>
      <c r="R281" t="s">
        <v>56</v>
      </c>
      <c r="S281">
        <f>IF(enquiry_analysis_data[[#This Row],[enquiry_status]]="Converted",1,0)</f>
        <v>0</v>
      </c>
      <c r="T281" t="s">
        <v>28</v>
      </c>
    </row>
    <row r="282" spans="1:20" x14ac:dyDescent="0.3">
      <c r="A282">
        <v>272</v>
      </c>
      <c r="B282" s="1">
        <v>46030.449317129627</v>
      </c>
      <c r="C282" s="1" t="str">
        <f>TEXT(enquiry_analysis_data[[#This Row],[enquiry_date]],"mmmm-yyyy")</f>
        <v>January-2026</v>
      </c>
      <c r="D282">
        <f>YEAR(enquiry_analysis_data[[#This Row],[enquiry_date]])</f>
        <v>2026</v>
      </c>
      <c r="E282">
        <f>MONTH(enquiry_analysis_data[[#This Row],[enquiry_date]])</f>
        <v>1</v>
      </c>
      <c r="F282" t="s">
        <v>419</v>
      </c>
      <c r="G282" t="s">
        <v>599</v>
      </c>
      <c r="H282" s="2">
        <v>9000000269</v>
      </c>
      <c r="I282" t="s">
        <v>31</v>
      </c>
      <c r="J282" t="s">
        <v>49</v>
      </c>
      <c r="K282" t="s">
        <v>33</v>
      </c>
      <c r="L282" t="s">
        <v>154</v>
      </c>
      <c r="M282" t="s">
        <v>155</v>
      </c>
      <c r="N282" t="s">
        <v>156</v>
      </c>
      <c r="O282" t="s">
        <v>42</v>
      </c>
      <c r="P282" t="s">
        <v>36</v>
      </c>
      <c r="Q282" t="s">
        <v>26</v>
      </c>
      <c r="R282" t="s">
        <v>68</v>
      </c>
      <c r="S282">
        <f>IF(enquiry_analysis_data[[#This Row],[enquiry_status]]="Converted",1,0)</f>
        <v>1</v>
      </c>
      <c r="T282" t="s">
        <v>28</v>
      </c>
    </row>
    <row r="283" spans="1:20" x14ac:dyDescent="0.3">
      <c r="A283">
        <v>411</v>
      </c>
      <c r="B283" s="1">
        <v>46032.98232638889</v>
      </c>
      <c r="C283" s="1" t="str">
        <f>TEXT(enquiry_analysis_data[[#This Row],[enquiry_date]],"mmmm-yyyy")</f>
        <v>January-2026</v>
      </c>
      <c r="D283">
        <f>YEAR(enquiry_analysis_data[[#This Row],[enquiry_date]])</f>
        <v>2026</v>
      </c>
      <c r="E283">
        <f>MONTH(enquiry_analysis_data[[#This Row],[enquiry_date]])</f>
        <v>1</v>
      </c>
      <c r="F283" t="s">
        <v>600</v>
      </c>
      <c r="G283" t="s">
        <v>601</v>
      </c>
      <c r="H283" s="2">
        <v>9000000408</v>
      </c>
      <c r="I283" t="s">
        <v>77</v>
      </c>
      <c r="J283" t="s">
        <v>19</v>
      </c>
      <c r="K283" t="s">
        <v>67</v>
      </c>
      <c r="L283" t="s">
        <v>21</v>
      </c>
      <c r="M283" t="s">
        <v>22</v>
      </c>
      <c r="N283" t="s">
        <v>23</v>
      </c>
      <c r="O283" t="s">
        <v>42</v>
      </c>
      <c r="P283" t="s">
        <v>25</v>
      </c>
      <c r="Q283" t="s">
        <v>83</v>
      </c>
      <c r="R283" t="s">
        <v>45</v>
      </c>
      <c r="S283">
        <f>IF(enquiry_analysis_data[[#This Row],[enquiry_status]]="Converted",1,0)</f>
        <v>0</v>
      </c>
      <c r="T283" t="s">
        <v>28</v>
      </c>
    </row>
    <row r="284" spans="1:20" x14ac:dyDescent="0.3">
      <c r="A284">
        <v>50</v>
      </c>
      <c r="B284" s="1">
        <v>46033.143495370372</v>
      </c>
      <c r="C284" s="1" t="str">
        <f>TEXT(enquiry_analysis_data[[#This Row],[enquiry_date]],"mmmm-yyyy")</f>
        <v>January-2026</v>
      </c>
      <c r="D284">
        <f>YEAR(enquiry_analysis_data[[#This Row],[enquiry_date]])</f>
        <v>2026</v>
      </c>
      <c r="E284">
        <f>MONTH(enquiry_analysis_data[[#This Row],[enquiry_date]])</f>
        <v>1</v>
      </c>
      <c r="F284" t="s">
        <v>213</v>
      </c>
      <c r="G284" t="s">
        <v>602</v>
      </c>
      <c r="H284" s="2">
        <v>9000000047</v>
      </c>
      <c r="I284" t="s">
        <v>123</v>
      </c>
      <c r="J284" t="s">
        <v>49</v>
      </c>
      <c r="K284" t="s">
        <v>20</v>
      </c>
      <c r="L284" t="s">
        <v>106</v>
      </c>
      <c r="M284" t="s">
        <v>107</v>
      </c>
      <c r="N284" t="s">
        <v>108</v>
      </c>
      <c r="O284" t="s">
        <v>24</v>
      </c>
      <c r="P284" t="s">
        <v>43</v>
      </c>
      <c r="Q284" t="s">
        <v>53</v>
      </c>
      <c r="R284" t="s">
        <v>45</v>
      </c>
      <c r="S284">
        <f>IF(enquiry_analysis_data[[#This Row],[enquiry_status]]="Converted",1,0)</f>
        <v>0</v>
      </c>
      <c r="T284" t="s">
        <v>28</v>
      </c>
    </row>
    <row r="285" spans="1:20" x14ac:dyDescent="0.3">
      <c r="A285">
        <v>215</v>
      </c>
      <c r="B285" s="1">
        <v>46033.354386574072</v>
      </c>
      <c r="C285" s="1" t="str">
        <f>TEXT(enquiry_analysis_data[[#This Row],[enquiry_date]],"mmmm-yyyy")</f>
        <v>January-2026</v>
      </c>
      <c r="D285">
        <f>YEAR(enquiry_analysis_data[[#This Row],[enquiry_date]])</f>
        <v>2026</v>
      </c>
      <c r="E285">
        <f>MONTH(enquiry_analysis_data[[#This Row],[enquiry_date]])</f>
        <v>1</v>
      </c>
      <c r="F285" t="s">
        <v>603</v>
      </c>
      <c r="G285" t="s">
        <v>604</v>
      </c>
      <c r="H285" s="2">
        <v>9000000212</v>
      </c>
      <c r="I285" t="s">
        <v>88</v>
      </c>
      <c r="J285" t="s">
        <v>49</v>
      </c>
      <c r="K285" t="s">
        <v>20</v>
      </c>
      <c r="L285" t="s">
        <v>21</v>
      </c>
      <c r="M285" t="s">
        <v>22</v>
      </c>
      <c r="N285" t="s">
        <v>23</v>
      </c>
      <c r="O285" t="s">
        <v>24</v>
      </c>
      <c r="P285" t="s">
        <v>52</v>
      </c>
      <c r="Q285" t="s">
        <v>63</v>
      </c>
      <c r="R285" t="s">
        <v>68</v>
      </c>
      <c r="S285">
        <f>IF(enquiry_analysis_data[[#This Row],[enquiry_status]]="Converted",1,0)</f>
        <v>1</v>
      </c>
      <c r="T285" t="s">
        <v>28</v>
      </c>
    </row>
    <row r="286" spans="1:20" x14ac:dyDescent="0.3">
      <c r="A286">
        <v>61</v>
      </c>
      <c r="B286" s="1">
        <v>46033.693796296298</v>
      </c>
      <c r="C286" s="1" t="str">
        <f>TEXT(enquiry_analysis_data[[#This Row],[enquiry_date]],"mmmm-yyyy")</f>
        <v>January-2026</v>
      </c>
      <c r="D286">
        <f>YEAR(enquiry_analysis_data[[#This Row],[enquiry_date]])</f>
        <v>2026</v>
      </c>
      <c r="E286">
        <f>MONTH(enquiry_analysis_data[[#This Row],[enquiry_date]])</f>
        <v>1</v>
      </c>
      <c r="F286" t="s">
        <v>81</v>
      </c>
      <c r="G286" t="s">
        <v>605</v>
      </c>
      <c r="H286" s="2">
        <v>9000000058</v>
      </c>
      <c r="I286" t="s">
        <v>88</v>
      </c>
      <c r="J286" t="s">
        <v>128</v>
      </c>
      <c r="K286" t="s">
        <v>94</v>
      </c>
      <c r="L286" t="s">
        <v>106</v>
      </c>
      <c r="M286" t="s">
        <v>107</v>
      </c>
      <c r="N286" t="s">
        <v>108</v>
      </c>
      <c r="O286" t="s">
        <v>42</v>
      </c>
      <c r="P286" t="s">
        <v>25</v>
      </c>
      <c r="Q286" t="s">
        <v>37</v>
      </c>
      <c r="R286" t="s">
        <v>45</v>
      </c>
      <c r="S286">
        <f>IF(enquiry_analysis_data[[#This Row],[enquiry_status]]="Converted",1,0)</f>
        <v>0</v>
      </c>
      <c r="T286" t="s">
        <v>28</v>
      </c>
    </row>
    <row r="287" spans="1:20" x14ac:dyDescent="0.3">
      <c r="A287">
        <v>397</v>
      </c>
      <c r="B287" s="1">
        <v>46034.122615740744</v>
      </c>
      <c r="C287" s="1" t="str">
        <f>TEXT(enquiry_analysis_data[[#This Row],[enquiry_date]],"mmmm-yyyy")</f>
        <v>January-2026</v>
      </c>
      <c r="D287">
        <f>YEAR(enquiry_analysis_data[[#This Row],[enquiry_date]])</f>
        <v>2026</v>
      </c>
      <c r="E287">
        <f>MONTH(enquiry_analysis_data[[#This Row],[enquiry_date]])</f>
        <v>1</v>
      </c>
      <c r="F287" t="s">
        <v>606</v>
      </c>
      <c r="G287" t="s">
        <v>607</v>
      </c>
      <c r="H287" s="2">
        <v>9000000394</v>
      </c>
      <c r="I287" t="s">
        <v>48</v>
      </c>
      <c r="J287" t="s">
        <v>19</v>
      </c>
      <c r="K287" t="s">
        <v>20</v>
      </c>
      <c r="L287" t="s">
        <v>154</v>
      </c>
      <c r="M287" t="s">
        <v>155</v>
      </c>
      <c r="N287" t="s">
        <v>156</v>
      </c>
      <c r="O287" t="s">
        <v>42</v>
      </c>
      <c r="P287" t="s">
        <v>43</v>
      </c>
      <c r="Q287" t="s">
        <v>141</v>
      </c>
      <c r="R287" t="s">
        <v>68</v>
      </c>
      <c r="S287">
        <f>IF(enquiry_analysis_data[[#This Row],[enquiry_status]]="Converted",1,0)</f>
        <v>1</v>
      </c>
      <c r="T287" t="s">
        <v>28</v>
      </c>
    </row>
    <row r="288" spans="1:20" x14ac:dyDescent="0.3">
      <c r="A288">
        <v>52</v>
      </c>
      <c r="B288" s="1">
        <v>46034.574074074073</v>
      </c>
      <c r="C288" s="1" t="str">
        <f>TEXT(enquiry_analysis_data[[#This Row],[enquiry_date]],"mmmm-yyyy")</f>
        <v>January-2026</v>
      </c>
      <c r="D288">
        <f>YEAR(enquiry_analysis_data[[#This Row],[enquiry_date]])</f>
        <v>2026</v>
      </c>
      <c r="E288">
        <f>MONTH(enquiry_analysis_data[[#This Row],[enquiry_date]])</f>
        <v>1</v>
      </c>
      <c r="F288" t="s">
        <v>608</v>
      </c>
      <c r="G288" t="s">
        <v>609</v>
      </c>
      <c r="H288" s="2">
        <v>9000000049</v>
      </c>
      <c r="I288" t="s">
        <v>77</v>
      </c>
      <c r="J288" t="s">
        <v>49</v>
      </c>
      <c r="K288" t="s">
        <v>20</v>
      </c>
      <c r="L288" t="s">
        <v>154</v>
      </c>
      <c r="M288" t="s">
        <v>155</v>
      </c>
      <c r="N288" t="s">
        <v>156</v>
      </c>
      <c r="O288" t="s">
        <v>42</v>
      </c>
      <c r="P288" t="s">
        <v>43</v>
      </c>
      <c r="Q288" t="s">
        <v>63</v>
      </c>
      <c r="R288" t="s">
        <v>45</v>
      </c>
      <c r="S288">
        <f>IF(enquiry_analysis_data[[#This Row],[enquiry_status]]="Converted",1,0)</f>
        <v>0</v>
      </c>
      <c r="T288" t="s">
        <v>28</v>
      </c>
    </row>
    <row r="289" spans="1:20" x14ac:dyDescent="0.3">
      <c r="A289">
        <v>225</v>
      </c>
      <c r="B289" s="1">
        <v>46034.781875000001</v>
      </c>
      <c r="C289" s="1" t="str">
        <f>TEXT(enquiry_analysis_data[[#This Row],[enquiry_date]],"mmmm-yyyy")</f>
        <v>January-2026</v>
      </c>
      <c r="D289">
        <f>YEAR(enquiry_analysis_data[[#This Row],[enquiry_date]])</f>
        <v>2026</v>
      </c>
      <c r="E289">
        <f>MONTH(enquiry_analysis_data[[#This Row],[enquiry_date]])</f>
        <v>1</v>
      </c>
      <c r="F289" t="s">
        <v>447</v>
      </c>
      <c r="G289" t="s">
        <v>610</v>
      </c>
      <c r="H289" s="2">
        <v>9000000222</v>
      </c>
      <c r="I289" t="s">
        <v>93</v>
      </c>
      <c r="J289" t="s">
        <v>49</v>
      </c>
      <c r="K289" t="s">
        <v>20</v>
      </c>
      <c r="L289" t="s">
        <v>21</v>
      </c>
      <c r="M289" t="s">
        <v>22</v>
      </c>
      <c r="N289" t="s">
        <v>23</v>
      </c>
      <c r="O289" t="s">
        <v>42</v>
      </c>
      <c r="P289" t="s">
        <v>43</v>
      </c>
      <c r="Q289" t="s">
        <v>26</v>
      </c>
      <c r="R289" t="s">
        <v>68</v>
      </c>
      <c r="S289">
        <f>IF(enquiry_analysis_data[[#This Row],[enquiry_status]]="Converted",1,0)</f>
        <v>1</v>
      </c>
      <c r="T289" t="s">
        <v>28</v>
      </c>
    </row>
    <row r="290" spans="1:20" x14ac:dyDescent="0.3">
      <c r="A290">
        <v>88</v>
      </c>
      <c r="B290" s="1">
        <v>46035.599594907406</v>
      </c>
      <c r="C290" s="1" t="str">
        <f>TEXT(enquiry_analysis_data[[#This Row],[enquiry_date]],"mmmm-yyyy")</f>
        <v>January-2026</v>
      </c>
      <c r="D290">
        <f>YEAR(enquiry_analysis_data[[#This Row],[enquiry_date]])</f>
        <v>2026</v>
      </c>
      <c r="E290">
        <f>MONTH(enquiry_analysis_data[[#This Row],[enquiry_date]])</f>
        <v>1</v>
      </c>
      <c r="F290" t="s">
        <v>273</v>
      </c>
      <c r="G290" t="s">
        <v>611</v>
      </c>
      <c r="H290" s="2">
        <v>9000000085</v>
      </c>
      <c r="I290" t="s">
        <v>59</v>
      </c>
      <c r="J290" t="s">
        <v>19</v>
      </c>
      <c r="K290" t="s">
        <v>33</v>
      </c>
      <c r="L290" t="s">
        <v>34</v>
      </c>
      <c r="M290" t="s">
        <v>35</v>
      </c>
      <c r="N290" t="s">
        <v>35</v>
      </c>
      <c r="O290" t="s">
        <v>42</v>
      </c>
      <c r="P290" t="s">
        <v>36</v>
      </c>
      <c r="Q290" t="s">
        <v>141</v>
      </c>
      <c r="R290" t="s">
        <v>68</v>
      </c>
      <c r="S290">
        <f>IF(enquiry_analysis_data[[#This Row],[enquiry_status]]="Converted",1,0)</f>
        <v>1</v>
      </c>
      <c r="T290" t="s">
        <v>28</v>
      </c>
    </row>
    <row r="291" spans="1:20" x14ac:dyDescent="0.3">
      <c r="A291">
        <v>105</v>
      </c>
      <c r="B291" s="1">
        <v>46036.072789351849</v>
      </c>
      <c r="C291" s="1" t="str">
        <f>TEXT(enquiry_analysis_data[[#This Row],[enquiry_date]],"mmmm-yyyy")</f>
        <v>January-2026</v>
      </c>
      <c r="D291">
        <f>YEAR(enquiry_analysis_data[[#This Row],[enquiry_date]])</f>
        <v>2026</v>
      </c>
      <c r="E291">
        <f>MONTH(enquiry_analysis_data[[#This Row],[enquiry_date]])</f>
        <v>1</v>
      </c>
      <c r="F291" t="s">
        <v>529</v>
      </c>
      <c r="G291" t="s">
        <v>612</v>
      </c>
      <c r="H291" s="2">
        <v>9000000102</v>
      </c>
      <c r="I291" t="s">
        <v>66</v>
      </c>
      <c r="J291" t="s">
        <v>49</v>
      </c>
      <c r="K291" t="s">
        <v>20</v>
      </c>
      <c r="L291" t="s">
        <v>144</v>
      </c>
      <c r="M291" t="s">
        <v>145</v>
      </c>
      <c r="N291" t="s">
        <v>101</v>
      </c>
      <c r="O291" t="s">
        <v>42</v>
      </c>
      <c r="P291" t="s">
        <v>36</v>
      </c>
      <c r="Q291" t="s">
        <v>53</v>
      </c>
      <c r="R291" t="s">
        <v>68</v>
      </c>
      <c r="S291">
        <f>IF(enquiry_analysis_data[[#This Row],[enquiry_status]]="Converted",1,0)</f>
        <v>1</v>
      </c>
      <c r="T291" t="s">
        <v>28</v>
      </c>
    </row>
    <row r="292" spans="1:20" x14ac:dyDescent="0.3">
      <c r="A292">
        <v>418</v>
      </c>
      <c r="B292" s="1">
        <v>46036.344074074077</v>
      </c>
      <c r="C292" s="1" t="str">
        <f>TEXT(enquiry_analysis_data[[#This Row],[enquiry_date]],"mmmm-yyyy")</f>
        <v>January-2026</v>
      </c>
      <c r="D292">
        <f>YEAR(enquiry_analysis_data[[#This Row],[enquiry_date]])</f>
        <v>2026</v>
      </c>
      <c r="E292">
        <f>MONTH(enquiry_analysis_data[[#This Row],[enquiry_date]])</f>
        <v>1</v>
      </c>
      <c r="F292" t="s">
        <v>383</v>
      </c>
      <c r="G292" t="s">
        <v>613</v>
      </c>
      <c r="H292" s="2">
        <v>9000000415</v>
      </c>
      <c r="I292" t="s">
        <v>48</v>
      </c>
      <c r="J292" t="s">
        <v>19</v>
      </c>
      <c r="K292" t="s">
        <v>67</v>
      </c>
      <c r="L292" t="s">
        <v>144</v>
      </c>
      <c r="M292" t="s">
        <v>145</v>
      </c>
      <c r="N292" t="s">
        <v>101</v>
      </c>
      <c r="O292" t="s">
        <v>42</v>
      </c>
      <c r="P292" t="s">
        <v>43</v>
      </c>
      <c r="Q292" t="s">
        <v>53</v>
      </c>
      <c r="R292" t="s">
        <v>68</v>
      </c>
      <c r="S292">
        <f>IF(enquiry_analysis_data[[#This Row],[enquiry_status]]="Converted",1,0)</f>
        <v>1</v>
      </c>
      <c r="T292" t="s">
        <v>28</v>
      </c>
    </row>
    <row r="293" spans="1:20" x14ac:dyDescent="0.3">
      <c r="A293">
        <v>149</v>
      </c>
      <c r="B293" s="1">
        <v>46038.850138888891</v>
      </c>
      <c r="C293" s="1" t="str">
        <f>TEXT(enquiry_analysis_data[[#This Row],[enquiry_date]],"mmmm-yyyy")</f>
        <v>January-2026</v>
      </c>
      <c r="D293">
        <f>YEAR(enquiry_analysis_data[[#This Row],[enquiry_date]])</f>
        <v>2026</v>
      </c>
      <c r="E293">
        <f>MONTH(enquiry_analysis_data[[#This Row],[enquiry_date]])</f>
        <v>1</v>
      </c>
      <c r="F293" t="s">
        <v>327</v>
      </c>
      <c r="G293" t="s">
        <v>614</v>
      </c>
      <c r="H293" s="2">
        <v>9000000146</v>
      </c>
      <c r="I293" t="s">
        <v>59</v>
      </c>
      <c r="J293" t="s">
        <v>19</v>
      </c>
      <c r="K293" t="s">
        <v>67</v>
      </c>
      <c r="L293" t="s">
        <v>154</v>
      </c>
      <c r="M293" t="s">
        <v>155</v>
      </c>
      <c r="N293" t="s">
        <v>156</v>
      </c>
      <c r="O293" t="s">
        <v>24</v>
      </c>
      <c r="P293" t="s">
        <v>25</v>
      </c>
      <c r="Q293" t="s">
        <v>26</v>
      </c>
      <c r="R293" t="s">
        <v>45</v>
      </c>
      <c r="S293">
        <f>IF(enquiry_analysis_data[[#This Row],[enquiry_status]]="Converted",1,0)</f>
        <v>0</v>
      </c>
      <c r="T293" t="s">
        <v>28</v>
      </c>
    </row>
    <row r="294" spans="1:20" x14ac:dyDescent="0.3">
      <c r="A294">
        <v>290</v>
      </c>
      <c r="B294" s="1">
        <v>46039.70579861111</v>
      </c>
      <c r="C294" s="1" t="str">
        <f>TEXT(enquiry_analysis_data[[#This Row],[enquiry_date]],"mmmm-yyyy")</f>
        <v>January-2026</v>
      </c>
      <c r="D294">
        <f>YEAR(enquiry_analysis_data[[#This Row],[enquiry_date]])</f>
        <v>2026</v>
      </c>
      <c r="E294">
        <f>MONTH(enquiry_analysis_data[[#This Row],[enquiry_date]])</f>
        <v>1</v>
      </c>
      <c r="F294" t="s">
        <v>615</v>
      </c>
      <c r="G294" t="s">
        <v>616</v>
      </c>
      <c r="H294" s="2">
        <v>9000000287</v>
      </c>
      <c r="I294" t="s">
        <v>93</v>
      </c>
      <c r="J294" t="s">
        <v>49</v>
      </c>
      <c r="K294" t="s">
        <v>33</v>
      </c>
      <c r="L294" t="s">
        <v>106</v>
      </c>
      <c r="M294" t="s">
        <v>107</v>
      </c>
      <c r="N294" t="s">
        <v>108</v>
      </c>
      <c r="O294" t="s">
        <v>24</v>
      </c>
      <c r="P294" t="s">
        <v>43</v>
      </c>
      <c r="Q294" t="s">
        <v>53</v>
      </c>
      <c r="R294" t="s">
        <v>68</v>
      </c>
      <c r="S294">
        <f>IF(enquiry_analysis_data[[#This Row],[enquiry_status]]="Converted",1,0)</f>
        <v>1</v>
      </c>
      <c r="T294" t="s">
        <v>28</v>
      </c>
    </row>
    <row r="295" spans="1:20" x14ac:dyDescent="0.3">
      <c r="A295">
        <v>450</v>
      </c>
      <c r="B295" s="1">
        <v>46040.060925925929</v>
      </c>
      <c r="C295" s="1" t="str">
        <f>TEXT(enquiry_analysis_data[[#This Row],[enquiry_date]],"mmmm-yyyy")</f>
        <v>January-2026</v>
      </c>
      <c r="D295">
        <f>YEAR(enquiry_analysis_data[[#This Row],[enquiry_date]])</f>
        <v>2026</v>
      </c>
      <c r="E295">
        <f>MONTH(enquiry_analysis_data[[#This Row],[enquiry_date]])</f>
        <v>1</v>
      </c>
      <c r="F295" t="s">
        <v>617</v>
      </c>
      <c r="G295" t="s">
        <v>618</v>
      </c>
      <c r="H295" s="2">
        <v>9000000447</v>
      </c>
      <c r="I295" t="s">
        <v>88</v>
      </c>
      <c r="J295" t="s">
        <v>19</v>
      </c>
      <c r="K295" t="s">
        <v>94</v>
      </c>
      <c r="L295" t="s">
        <v>99</v>
      </c>
      <c r="M295" t="s">
        <v>100</v>
      </c>
      <c r="N295" t="s">
        <v>101</v>
      </c>
      <c r="O295" t="s">
        <v>42</v>
      </c>
      <c r="P295" t="s">
        <v>25</v>
      </c>
      <c r="Q295" t="s">
        <v>44</v>
      </c>
      <c r="R295" t="s">
        <v>114</v>
      </c>
      <c r="S295">
        <f>IF(enquiry_analysis_data[[#This Row],[enquiry_status]]="Converted",1,0)</f>
        <v>0</v>
      </c>
      <c r="T295" t="s">
        <v>28</v>
      </c>
    </row>
    <row r="296" spans="1:20" x14ac:dyDescent="0.3">
      <c r="A296">
        <v>278</v>
      </c>
      <c r="B296" s="1">
        <v>46040.698796296296</v>
      </c>
      <c r="C296" s="1" t="str">
        <f>TEXT(enquiry_analysis_data[[#This Row],[enquiry_date]],"mmmm-yyyy")</f>
        <v>January-2026</v>
      </c>
      <c r="D296">
        <f>YEAR(enquiry_analysis_data[[#This Row],[enquiry_date]])</f>
        <v>2026</v>
      </c>
      <c r="E296">
        <f>MONTH(enquiry_analysis_data[[#This Row],[enquiry_date]])</f>
        <v>1</v>
      </c>
      <c r="F296" t="s">
        <v>619</v>
      </c>
      <c r="G296" t="s">
        <v>620</v>
      </c>
      <c r="H296" s="2">
        <v>9000000275</v>
      </c>
      <c r="I296" t="s">
        <v>18</v>
      </c>
      <c r="J296" t="s">
        <v>19</v>
      </c>
      <c r="K296" t="s">
        <v>94</v>
      </c>
      <c r="L296" t="s">
        <v>111</v>
      </c>
      <c r="M296" t="s">
        <v>112</v>
      </c>
      <c r="N296" t="s">
        <v>113</v>
      </c>
      <c r="O296" t="s">
        <v>42</v>
      </c>
      <c r="P296" t="s">
        <v>52</v>
      </c>
      <c r="Q296" t="s">
        <v>53</v>
      </c>
      <c r="R296" t="s">
        <v>27</v>
      </c>
      <c r="S296">
        <f>IF(enquiry_analysis_data[[#This Row],[enquiry_status]]="Converted",1,0)</f>
        <v>0</v>
      </c>
      <c r="T296" t="s">
        <v>28</v>
      </c>
    </row>
    <row r="297" spans="1:20" x14ac:dyDescent="0.3">
      <c r="A297">
        <v>435</v>
      </c>
      <c r="B297" s="1">
        <v>46041.749571759261</v>
      </c>
      <c r="C297" s="1" t="str">
        <f>TEXT(enquiry_analysis_data[[#This Row],[enquiry_date]],"mmmm-yyyy")</f>
        <v>January-2026</v>
      </c>
      <c r="D297">
        <f>YEAR(enquiry_analysis_data[[#This Row],[enquiry_date]])</f>
        <v>2026</v>
      </c>
      <c r="E297">
        <f>MONTH(enquiry_analysis_data[[#This Row],[enquiry_date]])</f>
        <v>1</v>
      </c>
      <c r="F297" t="s">
        <v>621</v>
      </c>
      <c r="G297" t="s">
        <v>622</v>
      </c>
      <c r="H297" s="2">
        <v>9000000432</v>
      </c>
      <c r="I297" t="s">
        <v>66</v>
      </c>
      <c r="J297" t="s">
        <v>49</v>
      </c>
      <c r="K297" t="s">
        <v>20</v>
      </c>
      <c r="L297" t="s">
        <v>21</v>
      </c>
      <c r="M297" t="s">
        <v>22</v>
      </c>
      <c r="N297" t="s">
        <v>23</v>
      </c>
      <c r="O297" t="s">
        <v>42</v>
      </c>
      <c r="P297" t="s">
        <v>43</v>
      </c>
      <c r="Q297" t="s">
        <v>37</v>
      </c>
      <c r="R297" t="s">
        <v>45</v>
      </c>
      <c r="S297">
        <f>IF(enquiry_analysis_data[[#This Row],[enquiry_status]]="Converted",1,0)</f>
        <v>0</v>
      </c>
      <c r="T297" t="s">
        <v>28</v>
      </c>
    </row>
    <row r="298" spans="1:20" x14ac:dyDescent="0.3">
      <c r="A298">
        <v>132</v>
      </c>
      <c r="B298" s="1">
        <v>46042.093182870369</v>
      </c>
      <c r="C298" s="1" t="str">
        <f>TEXT(enquiry_analysis_data[[#This Row],[enquiry_date]],"mmmm-yyyy")</f>
        <v>January-2026</v>
      </c>
      <c r="D298">
        <f>YEAR(enquiry_analysis_data[[#This Row],[enquiry_date]])</f>
        <v>2026</v>
      </c>
      <c r="E298">
        <f>MONTH(enquiry_analysis_data[[#This Row],[enquiry_date]])</f>
        <v>1</v>
      </c>
      <c r="F298" t="s">
        <v>551</v>
      </c>
      <c r="G298" t="s">
        <v>623</v>
      </c>
      <c r="H298" s="2">
        <v>9000000129</v>
      </c>
      <c r="I298" t="s">
        <v>31</v>
      </c>
      <c r="J298" t="s">
        <v>49</v>
      </c>
      <c r="K298" t="s">
        <v>20</v>
      </c>
      <c r="L298" t="s">
        <v>144</v>
      </c>
      <c r="M298" t="s">
        <v>145</v>
      </c>
      <c r="N298" t="s">
        <v>101</v>
      </c>
      <c r="O298" t="s">
        <v>42</v>
      </c>
      <c r="P298" t="s">
        <v>43</v>
      </c>
      <c r="Q298" t="s">
        <v>141</v>
      </c>
      <c r="R298" t="s">
        <v>45</v>
      </c>
      <c r="S298">
        <f>IF(enquiry_analysis_data[[#This Row],[enquiry_status]]="Converted",1,0)</f>
        <v>0</v>
      </c>
      <c r="T298" t="s">
        <v>28</v>
      </c>
    </row>
    <row r="299" spans="1:20" x14ac:dyDescent="0.3">
      <c r="A299">
        <v>491</v>
      </c>
      <c r="B299" s="1">
        <v>46045.681875000002</v>
      </c>
      <c r="C299" s="1" t="str">
        <f>TEXT(enquiry_analysis_data[[#This Row],[enquiry_date]],"mmmm-yyyy")</f>
        <v>January-2026</v>
      </c>
      <c r="D299">
        <f>YEAR(enquiry_analysis_data[[#This Row],[enquiry_date]])</f>
        <v>2026</v>
      </c>
      <c r="E299">
        <f>MONTH(enquiry_analysis_data[[#This Row],[enquiry_date]])</f>
        <v>1</v>
      </c>
      <c r="F299" t="s">
        <v>624</v>
      </c>
      <c r="G299" t="s">
        <v>625</v>
      </c>
      <c r="H299" s="2">
        <v>9000000488</v>
      </c>
      <c r="I299" t="s">
        <v>18</v>
      </c>
      <c r="J299" t="s">
        <v>32</v>
      </c>
      <c r="K299" t="s">
        <v>33</v>
      </c>
      <c r="L299" t="s">
        <v>106</v>
      </c>
      <c r="M299" t="s">
        <v>107</v>
      </c>
      <c r="N299" t="s">
        <v>108</v>
      </c>
      <c r="O299" t="s">
        <v>42</v>
      </c>
      <c r="P299" t="s">
        <v>36</v>
      </c>
      <c r="Q299" t="s">
        <v>53</v>
      </c>
      <c r="R299" t="s">
        <v>68</v>
      </c>
      <c r="S299">
        <f>IF(enquiry_analysis_data[[#This Row],[enquiry_status]]="Converted",1,0)</f>
        <v>1</v>
      </c>
      <c r="T299" t="s">
        <v>28</v>
      </c>
    </row>
    <row r="300" spans="1:20" x14ac:dyDescent="0.3">
      <c r="A300">
        <v>117</v>
      </c>
      <c r="B300" s="1">
        <v>46052.657118055555</v>
      </c>
      <c r="C300" s="1" t="str">
        <f>TEXT(enquiry_analysis_data[[#This Row],[enquiry_date]],"mmmm-yyyy")</f>
        <v>January-2026</v>
      </c>
      <c r="D300">
        <f>YEAR(enquiry_analysis_data[[#This Row],[enquiry_date]])</f>
        <v>2026</v>
      </c>
      <c r="E300">
        <f>MONTH(enquiry_analysis_data[[#This Row],[enquiry_date]])</f>
        <v>1</v>
      </c>
      <c r="F300" t="s">
        <v>546</v>
      </c>
      <c r="G300" t="s">
        <v>626</v>
      </c>
      <c r="H300" s="2">
        <v>9000000114</v>
      </c>
      <c r="I300" t="s">
        <v>18</v>
      </c>
      <c r="J300" t="s">
        <v>49</v>
      </c>
      <c r="K300" t="s">
        <v>33</v>
      </c>
      <c r="L300" t="s">
        <v>144</v>
      </c>
      <c r="M300" t="s">
        <v>145</v>
      </c>
      <c r="N300" t="s">
        <v>101</v>
      </c>
      <c r="O300" t="s">
        <v>42</v>
      </c>
      <c r="P300" t="s">
        <v>52</v>
      </c>
      <c r="Q300" t="s">
        <v>138</v>
      </c>
      <c r="R300" t="s">
        <v>27</v>
      </c>
      <c r="S300">
        <f>IF(enquiry_analysis_data[[#This Row],[enquiry_status]]="Converted",1,0)</f>
        <v>0</v>
      </c>
      <c r="T300" t="s">
        <v>28</v>
      </c>
    </row>
    <row r="301" spans="1:20" x14ac:dyDescent="0.3">
      <c r="A301">
        <v>147</v>
      </c>
      <c r="B301" s="1">
        <v>46053.822141203702</v>
      </c>
      <c r="C301" s="1" t="str">
        <f>TEXT(enquiry_analysis_data[[#This Row],[enquiry_date]],"mmmm-yyyy")</f>
        <v>January-2026</v>
      </c>
      <c r="D301">
        <f>YEAR(enquiry_analysis_data[[#This Row],[enquiry_date]])</f>
        <v>2026</v>
      </c>
      <c r="E301">
        <f>MONTH(enquiry_analysis_data[[#This Row],[enquiry_date]])</f>
        <v>1</v>
      </c>
      <c r="F301" t="s">
        <v>627</v>
      </c>
      <c r="G301" t="s">
        <v>628</v>
      </c>
      <c r="H301" s="2">
        <v>9000000144</v>
      </c>
      <c r="I301" t="s">
        <v>71</v>
      </c>
      <c r="J301" t="s">
        <v>128</v>
      </c>
      <c r="K301" t="s">
        <v>20</v>
      </c>
      <c r="L301" t="s">
        <v>72</v>
      </c>
      <c r="M301" t="s">
        <v>73</v>
      </c>
      <c r="N301" t="s">
        <v>74</v>
      </c>
      <c r="O301" t="s">
        <v>24</v>
      </c>
      <c r="P301" t="s">
        <v>52</v>
      </c>
      <c r="Q301" t="s">
        <v>53</v>
      </c>
      <c r="R301" t="s">
        <v>45</v>
      </c>
      <c r="S301">
        <f>IF(enquiry_analysis_data[[#This Row],[enquiry_status]]="Converted",1,0)</f>
        <v>0</v>
      </c>
      <c r="T301" t="s">
        <v>28</v>
      </c>
    </row>
    <row r="302" spans="1:20" x14ac:dyDescent="0.3">
      <c r="A302">
        <v>223</v>
      </c>
      <c r="B302" s="1">
        <v>46055.14439814815</v>
      </c>
      <c r="C302" s="1" t="str">
        <f>TEXT(enquiry_analysis_data[[#This Row],[enquiry_date]],"mmmm-yyyy")</f>
        <v>February-2026</v>
      </c>
      <c r="D302">
        <f>YEAR(enquiry_analysis_data[[#This Row],[enquiry_date]])</f>
        <v>2026</v>
      </c>
      <c r="E302">
        <f>MONTH(enquiry_analysis_data[[#This Row],[enquiry_date]])</f>
        <v>2</v>
      </c>
      <c r="F302" t="s">
        <v>241</v>
      </c>
      <c r="G302" t="s">
        <v>629</v>
      </c>
      <c r="H302" s="2">
        <v>9000000220</v>
      </c>
      <c r="I302" t="s">
        <v>71</v>
      </c>
      <c r="J302" t="s">
        <v>49</v>
      </c>
      <c r="K302" t="s">
        <v>20</v>
      </c>
      <c r="L302" t="s">
        <v>78</v>
      </c>
      <c r="M302" t="s">
        <v>79</v>
      </c>
      <c r="N302" t="s">
        <v>80</v>
      </c>
      <c r="O302" t="s">
        <v>24</v>
      </c>
      <c r="P302" t="s">
        <v>43</v>
      </c>
      <c r="Q302" t="s">
        <v>26</v>
      </c>
      <c r="R302" t="s">
        <v>114</v>
      </c>
      <c r="S302">
        <f>IF(enquiry_analysis_data[[#This Row],[enquiry_status]]="Converted",1,0)</f>
        <v>0</v>
      </c>
      <c r="T302" t="s">
        <v>28</v>
      </c>
    </row>
    <row r="303" spans="1:20" x14ac:dyDescent="0.3">
      <c r="A303">
        <v>371</v>
      </c>
      <c r="B303" s="1">
        <v>46056.486446759256</v>
      </c>
      <c r="C303" s="1" t="str">
        <f>TEXT(enquiry_analysis_data[[#This Row],[enquiry_date]],"mmmm-yyyy")</f>
        <v>February-2026</v>
      </c>
      <c r="D303">
        <f>YEAR(enquiry_analysis_data[[#This Row],[enquiry_date]])</f>
        <v>2026</v>
      </c>
      <c r="E303">
        <f>MONTH(enquiry_analysis_data[[#This Row],[enquiry_date]])</f>
        <v>2</v>
      </c>
      <c r="F303" t="s">
        <v>542</v>
      </c>
      <c r="G303" t="s">
        <v>630</v>
      </c>
      <c r="H303" s="2">
        <v>9000000368</v>
      </c>
      <c r="I303" t="s">
        <v>93</v>
      </c>
      <c r="J303" t="s">
        <v>128</v>
      </c>
      <c r="K303" t="s">
        <v>94</v>
      </c>
      <c r="L303" t="s">
        <v>106</v>
      </c>
      <c r="M303" t="s">
        <v>107</v>
      </c>
      <c r="N303" t="s">
        <v>108</v>
      </c>
      <c r="O303" t="s">
        <v>24</v>
      </c>
      <c r="P303" t="s">
        <v>25</v>
      </c>
      <c r="Q303" t="s">
        <v>53</v>
      </c>
      <c r="R303" t="s">
        <v>56</v>
      </c>
      <c r="S303">
        <f>IF(enquiry_analysis_data[[#This Row],[enquiry_status]]="Converted",1,0)</f>
        <v>0</v>
      </c>
      <c r="T303" t="s">
        <v>28</v>
      </c>
    </row>
    <row r="304" spans="1:20" x14ac:dyDescent="0.3">
      <c r="A304">
        <v>357</v>
      </c>
      <c r="B304" s="1">
        <v>46057.491643518515</v>
      </c>
      <c r="C304" s="1" t="str">
        <f>TEXT(enquiry_analysis_data[[#This Row],[enquiry_date]],"mmmm-yyyy")</f>
        <v>February-2026</v>
      </c>
      <c r="D304">
        <f>YEAR(enquiry_analysis_data[[#This Row],[enquiry_date]])</f>
        <v>2026</v>
      </c>
      <c r="E304">
        <f>MONTH(enquiry_analysis_data[[#This Row],[enquiry_date]])</f>
        <v>2</v>
      </c>
      <c r="F304" t="s">
        <v>184</v>
      </c>
      <c r="G304" t="s">
        <v>631</v>
      </c>
      <c r="H304" s="2">
        <v>9000000354</v>
      </c>
      <c r="I304" t="s">
        <v>88</v>
      </c>
      <c r="J304" t="s">
        <v>19</v>
      </c>
      <c r="K304" t="s">
        <v>94</v>
      </c>
      <c r="L304" t="s">
        <v>117</v>
      </c>
      <c r="M304" t="s">
        <v>118</v>
      </c>
      <c r="N304" t="s">
        <v>119</v>
      </c>
      <c r="O304" t="s">
        <v>42</v>
      </c>
      <c r="P304" t="s">
        <v>25</v>
      </c>
      <c r="Q304" t="s">
        <v>44</v>
      </c>
      <c r="R304" t="s">
        <v>27</v>
      </c>
      <c r="S304">
        <f>IF(enquiry_analysis_data[[#This Row],[enquiry_status]]="Converted",1,0)</f>
        <v>0</v>
      </c>
      <c r="T304" t="s">
        <v>28</v>
      </c>
    </row>
    <row r="305" spans="1:20" x14ac:dyDescent="0.3">
      <c r="A305">
        <v>232</v>
      </c>
      <c r="B305" s="1">
        <v>46057.932928240742</v>
      </c>
      <c r="C305" s="1" t="str">
        <f>TEXT(enquiry_analysis_data[[#This Row],[enquiry_date]],"mmmm-yyyy")</f>
        <v>February-2026</v>
      </c>
      <c r="D305">
        <f>YEAR(enquiry_analysis_data[[#This Row],[enquiry_date]])</f>
        <v>2026</v>
      </c>
      <c r="E305">
        <f>MONTH(enquiry_analysis_data[[#This Row],[enquiry_date]])</f>
        <v>2</v>
      </c>
      <c r="F305" t="s">
        <v>632</v>
      </c>
      <c r="G305" t="s">
        <v>633</v>
      </c>
      <c r="H305" s="2">
        <v>9000000229</v>
      </c>
      <c r="I305" t="s">
        <v>88</v>
      </c>
      <c r="J305" t="s">
        <v>49</v>
      </c>
      <c r="K305" t="s">
        <v>20</v>
      </c>
      <c r="L305" t="s">
        <v>106</v>
      </c>
      <c r="M305" t="s">
        <v>107</v>
      </c>
      <c r="N305" t="s">
        <v>108</v>
      </c>
      <c r="O305" t="s">
        <v>42</v>
      </c>
      <c r="P305" t="s">
        <v>52</v>
      </c>
      <c r="Q305" t="s">
        <v>37</v>
      </c>
      <c r="R305" t="s">
        <v>45</v>
      </c>
      <c r="S305">
        <f>IF(enquiry_analysis_data[[#This Row],[enquiry_status]]="Converted",1,0)</f>
        <v>0</v>
      </c>
      <c r="T305" t="s">
        <v>28</v>
      </c>
    </row>
    <row r="306" spans="1:20" x14ac:dyDescent="0.3">
      <c r="A306">
        <v>148</v>
      </c>
      <c r="B306" s="1">
        <v>46058.780138888891</v>
      </c>
      <c r="C306" s="1" t="str">
        <f>TEXT(enquiry_analysis_data[[#This Row],[enquiry_date]],"mmmm-yyyy")</f>
        <v>February-2026</v>
      </c>
      <c r="D306">
        <f>YEAR(enquiry_analysis_data[[#This Row],[enquiry_date]])</f>
        <v>2026</v>
      </c>
      <c r="E306">
        <f>MONTH(enquiry_analysis_data[[#This Row],[enquiry_date]])</f>
        <v>2</v>
      </c>
      <c r="F306" t="s">
        <v>406</v>
      </c>
      <c r="G306" t="s">
        <v>634</v>
      </c>
      <c r="H306" s="2">
        <v>9000000145</v>
      </c>
      <c r="I306" t="s">
        <v>93</v>
      </c>
      <c r="J306" t="s">
        <v>19</v>
      </c>
      <c r="K306" t="s">
        <v>33</v>
      </c>
      <c r="L306" t="s">
        <v>72</v>
      </c>
      <c r="M306" t="s">
        <v>73</v>
      </c>
      <c r="N306" t="s">
        <v>74</v>
      </c>
      <c r="O306" t="s">
        <v>42</v>
      </c>
      <c r="P306" t="s">
        <v>36</v>
      </c>
      <c r="Q306" t="s">
        <v>26</v>
      </c>
      <c r="R306" t="s">
        <v>45</v>
      </c>
      <c r="S306">
        <f>IF(enquiry_analysis_data[[#This Row],[enquiry_status]]="Converted",1,0)</f>
        <v>0</v>
      </c>
      <c r="T306" t="s">
        <v>28</v>
      </c>
    </row>
    <row r="307" spans="1:20" x14ac:dyDescent="0.3">
      <c r="A307">
        <v>5</v>
      </c>
      <c r="B307" s="1">
        <v>46062.209062499998</v>
      </c>
      <c r="C307" s="1" t="str">
        <f>TEXT(enquiry_analysis_data[[#This Row],[enquiry_date]],"mmmm-yyyy")</f>
        <v>February-2026</v>
      </c>
      <c r="D307">
        <f>YEAR(enquiry_analysis_data[[#This Row],[enquiry_date]])</f>
        <v>2026</v>
      </c>
      <c r="E307">
        <f>MONTH(enquiry_analysis_data[[#This Row],[enquiry_date]])</f>
        <v>2</v>
      </c>
      <c r="F307" t="s">
        <v>624</v>
      </c>
      <c r="G307" t="s">
        <v>635</v>
      </c>
      <c r="H307" s="2">
        <v>9000000002</v>
      </c>
      <c r="I307" t="s">
        <v>18</v>
      </c>
      <c r="J307" t="s">
        <v>32</v>
      </c>
      <c r="K307" t="s">
        <v>67</v>
      </c>
      <c r="L307" t="s">
        <v>21</v>
      </c>
      <c r="M307" t="s">
        <v>22</v>
      </c>
      <c r="N307" t="s">
        <v>23</v>
      </c>
      <c r="O307" t="s">
        <v>24</v>
      </c>
      <c r="P307" t="s">
        <v>25</v>
      </c>
      <c r="Q307" t="s">
        <v>26</v>
      </c>
      <c r="R307" t="s">
        <v>68</v>
      </c>
      <c r="S307">
        <f>IF(enquiry_analysis_data[[#This Row],[enquiry_status]]="Converted",1,0)</f>
        <v>1</v>
      </c>
      <c r="T307" t="s">
        <v>28</v>
      </c>
    </row>
    <row r="308" spans="1:20" x14ac:dyDescent="0.3">
      <c r="A308">
        <v>327</v>
      </c>
      <c r="B308" s="1">
        <v>46062.511122685188</v>
      </c>
      <c r="C308" s="1" t="str">
        <f>TEXT(enquiry_analysis_data[[#This Row],[enquiry_date]],"mmmm-yyyy")</f>
        <v>February-2026</v>
      </c>
      <c r="D308">
        <f>YEAR(enquiry_analysis_data[[#This Row],[enquiry_date]])</f>
        <v>2026</v>
      </c>
      <c r="E308">
        <f>MONTH(enquiry_analysis_data[[#This Row],[enquiry_date]])</f>
        <v>2</v>
      </c>
      <c r="F308" t="s">
        <v>494</v>
      </c>
      <c r="G308" t="s">
        <v>636</v>
      </c>
      <c r="H308" s="2">
        <v>9000000324</v>
      </c>
      <c r="I308" t="s">
        <v>48</v>
      </c>
      <c r="J308" t="s">
        <v>19</v>
      </c>
      <c r="K308" t="s">
        <v>33</v>
      </c>
      <c r="L308" t="s">
        <v>99</v>
      </c>
      <c r="M308" t="s">
        <v>100</v>
      </c>
      <c r="N308" t="s">
        <v>101</v>
      </c>
      <c r="O308" t="s">
        <v>42</v>
      </c>
      <c r="P308" t="s">
        <v>43</v>
      </c>
      <c r="Q308" t="s">
        <v>63</v>
      </c>
      <c r="R308" t="s">
        <v>114</v>
      </c>
      <c r="S308">
        <f>IF(enquiry_analysis_data[[#This Row],[enquiry_status]]="Converted",1,0)</f>
        <v>0</v>
      </c>
      <c r="T308" t="s">
        <v>28</v>
      </c>
    </row>
    <row r="309" spans="1:20" x14ac:dyDescent="0.3">
      <c r="A309">
        <v>179</v>
      </c>
      <c r="B309" s="1">
        <v>46063.242662037039</v>
      </c>
      <c r="C309" s="1" t="str">
        <f>TEXT(enquiry_analysis_data[[#This Row],[enquiry_date]],"mmmm-yyyy")</f>
        <v>February-2026</v>
      </c>
      <c r="D309">
        <f>YEAR(enquiry_analysis_data[[#This Row],[enquiry_date]])</f>
        <v>2026</v>
      </c>
      <c r="E309">
        <f>MONTH(enquiry_analysis_data[[#This Row],[enquiry_date]])</f>
        <v>2</v>
      </c>
      <c r="F309" t="s">
        <v>548</v>
      </c>
      <c r="G309" t="s">
        <v>637</v>
      </c>
      <c r="H309" s="2">
        <v>9000000176</v>
      </c>
      <c r="I309" t="s">
        <v>66</v>
      </c>
      <c r="J309" t="s">
        <v>19</v>
      </c>
      <c r="K309" t="s">
        <v>67</v>
      </c>
      <c r="L309" t="s">
        <v>99</v>
      </c>
      <c r="M309" t="s">
        <v>100</v>
      </c>
      <c r="N309" t="s">
        <v>101</v>
      </c>
      <c r="O309" t="s">
        <v>42</v>
      </c>
      <c r="P309" t="s">
        <v>52</v>
      </c>
      <c r="Q309" t="s">
        <v>44</v>
      </c>
      <c r="R309" t="s">
        <v>27</v>
      </c>
      <c r="S309">
        <f>IF(enquiry_analysis_data[[#This Row],[enquiry_status]]="Converted",1,0)</f>
        <v>0</v>
      </c>
      <c r="T309" t="s">
        <v>28</v>
      </c>
    </row>
    <row r="310" spans="1:20" x14ac:dyDescent="0.3">
      <c r="A310">
        <v>448</v>
      </c>
      <c r="B310" s="1">
        <v>46064.756863425922</v>
      </c>
      <c r="C310" s="1" t="str">
        <f>TEXT(enquiry_analysis_data[[#This Row],[enquiry_date]],"mmmm-yyyy")</f>
        <v>February-2026</v>
      </c>
      <c r="D310">
        <f>YEAR(enquiry_analysis_data[[#This Row],[enquiry_date]])</f>
        <v>2026</v>
      </c>
      <c r="E310">
        <f>MONTH(enquiry_analysis_data[[#This Row],[enquiry_date]])</f>
        <v>2</v>
      </c>
      <c r="F310" t="s">
        <v>163</v>
      </c>
      <c r="G310" t="s">
        <v>638</v>
      </c>
      <c r="H310" s="2">
        <v>9000000445</v>
      </c>
      <c r="I310" t="s">
        <v>88</v>
      </c>
      <c r="J310" t="s">
        <v>49</v>
      </c>
      <c r="K310" t="s">
        <v>20</v>
      </c>
      <c r="L310" t="s">
        <v>50</v>
      </c>
      <c r="M310" t="s">
        <v>51</v>
      </c>
      <c r="N310" t="s">
        <v>23</v>
      </c>
      <c r="O310" t="s">
        <v>24</v>
      </c>
      <c r="P310" t="s">
        <v>36</v>
      </c>
      <c r="Q310" t="s">
        <v>63</v>
      </c>
      <c r="R310" t="s">
        <v>68</v>
      </c>
      <c r="S310">
        <f>IF(enquiry_analysis_data[[#This Row],[enquiry_status]]="Converted",1,0)</f>
        <v>1</v>
      </c>
      <c r="T310" t="s">
        <v>28</v>
      </c>
    </row>
    <row r="311" spans="1:20" x14ac:dyDescent="0.3">
      <c r="A311">
        <v>106</v>
      </c>
      <c r="B311" s="1">
        <v>46067.344201388885</v>
      </c>
      <c r="C311" s="1" t="str">
        <f>TEXT(enquiry_analysis_data[[#This Row],[enquiry_date]],"mmmm-yyyy")</f>
        <v>February-2026</v>
      </c>
      <c r="D311">
        <f>YEAR(enquiry_analysis_data[[#This Row],[enquiry_date]])</f>
        <v>2026</v>
      </c>
      <c r="E311">
        <f>MONTH(enquiry_analysis_data[[#This Row],[enquiry_date]])</f>
        <v>2</v>
      </c>
      <c r="F311" t="s">
        <v>639</v>
      </c>
      <c r="G311" t="s">
        <v>640</v>
      </c>
      <c r="H311" s="2">
        <v>9000000103</v>
      </c>
      <c r="I311" t="s">
        <v>31</v>
      </c>
      <c r="J311" t="s">
        <v>19</v>
      </c>
      <c r="K311" t="s">
        <v>33</v>
      </c>
      <c r="L311" t="s">
        <v>117</v>
      </c>
      <c r="M311" t="s">
        <v>118</v>
      </c>
      <c r="N311" t="s">
        <v>119</v>
      </c>
      <c r="O311" t="s">
        <v>42</v>
      </c>
      <c r="P311" t="s">
        <v>43</v>
      </c>
      <c r="Q311" t="s">
        <v>53</v>
      </c>
      <c r="R311" t="s">
        <v>56</v>
      </c>
      <c r="S311">
        <f>IF(enquiry_analysis_data[[#This Row],[enquiry_status]]="Converted",1,0)</f>
        <v>0</v>
      </c>
      <c r="T311" t="s">
        <v>28</v>
      </c>
    </row>
    <row r="312" spans="1:20" x14ac:dyDescent="0.3">
      <c r="A312">
        <v>496</v>
      </c>
      <c r="B312" s="1">
        <v>46067.74895833333</v>
      </c>
      <c r="C312" s="1" t="str">
        <f>TEXT(enquiry_analysis_data[[#This Row],[enquiry_date]],"mmmm-yyyy")</f>
        <v>February-2026</v>
      </c>
      <c r="D312">
        <f>YEAR(enquiry_analysis_data[[#This Row],[enquiry_date]])</f>
        <v>2026</v>
      </c>
      <c r="E312">
        <f>MONTH(enquiry_analysis_data[[#This Row],[enquiry_date]])</f>
        <v>2</v>
      </c>
      <c r="F312" t="s">
        <v>641</v>
      </c>
      <c r="G312" t="s">
        <v>642</v>
      </c>
      <c r="H312" s="2">
        <v>9000000493</v>
      </c>
      <c r="I312" t="s">
        <v>71</v>
      </c>
      <c r="J312" t="s">
        <v>19</v>
      </c>
      <c r="K312" t="s">
        <v>67</v>
      </c>
      <c r="L312" t="s">
        <v>136</v>
      </c>
      <c r="M312" t="s">
        <v>137</v>
      </c>
      <c r="N312" t="s">
        <v>62</v>
      </c>
      <c r="O312" t="s">
        <v>24</v>
      </c>
      <c r="P312" t="s">
        <v>52</v>
      </c>
      <c r="Q312" t="s">
        <v>53</v>
      </c>
      <c r="R312" t="s">
        <v>27</v>
      </c>
      <c r="S312">
        <f>IF(enquiry_analysis_data[[#This Row],[enquiry_status]]="Converted",1,0)</f>
        <v>0</v>
      </c>
      <c r="T312" t="s">
        <v>28</v>
      </c>
    </row>
    <row r="313" spans="1:20" x14ac:dyDescent="0.3">
      <c r="A313">
        <v>221</v>
      </c>
      <c r="B313" s="1">
        <v>46068.263368055559</v>
      </c>
      <c r="C313" s="1" t="str">
        <f>TEXT(enquiry_analysis_data[[#This Row],[enquiry_date]],"mmmm-yyyy")</f>
        <v>February-2026</v>
      </c>
      <c r="D313">
        <f>YEAR(enquiry_analysis_data[[#This Row],[enquiry_date]])</f>
        <v>2026</v>
      </c>
      <c r="E313">
        <f>MONTH(enquiry_analysis_data[[#This Row],[enquiry_date]])</f>
        <v>2</v>
      </c>
      <c r="F313" t="s">
        <v>188</v>
      </c>
      <c r="G313" t="s">
        <v>643</v>
      </c>
      <c r="H313" s="2">
        <v>9000000218</v>
      </c>
      <c r="I313" t="s">
        <v>77</v>
      </c>
      <c r="J313" t="s">
        <v>19</v>
      </c>
      <c r="K313" t="s">
        <v>33</v>
      </c>
      <c r="L313" t="s">
        <v>245</v>
      </c>
      <c r="M313" t="s">
        <v>246</v>
      </c>
      <c r="N313" t="s">
        <v>156</v>
      </c>
      <c r="O313" t="s">
        <v>42</v>
      </c>
      <c r="P313" t="s">
        <v>52</v>
      </c>
      <c r="Q313" t="s">
        <v>26</v>
      </c>
      <c r="R313" t="s">
        <v>68</v>
      </c>
      <c r="S313">
        <f>IF(enquiry_analysis_data[[#This Row],[enquiry_status]]="Converted",1,0)</f>
        <v>1</v>
      </c>
      <c r="T313" t="s">
        <v>28</v>
      </c>
    </row>
    <row r="314" spans="1:20" x14ac:dyDescent="0.3">
      <c r="A314">
        <v>196</v>
      </c>
      <c r="B314" s="1">
        <v>46068.608356481483</v>
      </c>
      <c r="C314" s="1" t="str">
        <f>TEXT(enquiry_analysis_data[[#This Row],[enquiry_date]],"mmmm-yyyy")</f>
        <v>February-2026</v>
      </c>
      <c r="D314">
        <f>YEAR(enquiry_analysis_data[[#This Row],[enquiry_date]])</f>
        <v>2026</v>
      </c>
      <c r="E314">
        <f>MONTH(enquiry_analysis_data[[#This Row],[enquiry_date]])</f>
        <v>2</v>
      </c>
      <c r="F314" t="s">
        <v>644</v>
      </c>
      <c r="G314" t="s">
        <v>645</v>
      </c>
      <c r="H314" s="2">
        <v>9000000193</v>
      </c>
      <c r="I314" t="s">
        <v>31</v>
      </c>
      <c r="J314" t="s">
        <v>128</v>
      </c>
      <c r="K314" t="s">
        <v>94</v>
      </c>
      <c r="L314" t="s">
        <v>50</v>
      </c>
      <c r="M314" t="s">
        <v>51</v>
      </c>
      <c r="N314" t="s">
        <v>23</v>
      </c>
      <c r="O314" t="s">
        <v>42</v>
      </c>
      <c r="P314" t="s">
        <v>25</v>
      </c>
      <c r="Q314" t="s">
        <v>53</v>
      </c>
      <c r="R314" t="s">
        <v>68</v>
      </c>
      <c r="S314">
        <f>IF(enquiry_analysis_data[[#This Row],[enquiry_status]]="Converted",1,0)</f>
        <v>1</v>
      </c>
      <c r="T314" t="s">
        <v>28</v>
      </c>
    </row>
    <row r="315" spans="1:20" x14ac:dyDescent="0.3">
      <c r="A315">
        <v>246</v>
      </c>
      <c r="B315" s="1">
        <v>46068.707245370373</v>
      </c>
      <c r="C315" s="1" t="str">
        <f>TEXT(enquiry_analysis_data[[#This Row],[enquiry_date]],"mmmm-yyyy")</f>
        <v>February-2026</v>
      </c>
      <c r="D315">
        <f>YEAR(enquiry_analysis_data[[#This Row],[enquiry_date]])</f>
        <v>2026</v>
      </c>
      <c r="E315">
        <f>MONTH(enquiry_analysis_data[[#This Row],[enquiry_date]])</f>
        <v>2</v>
      </c>
      <c r="F315" t="s">
        <v>306</v>
      </c>
      <c r="G315" t="s">
        <v>646</v>
      </c>
      <c r="H315" s="2">
        <v>9000000243</v>
      </c>
      <c r="I315" t="s">
        <v>31</v>
      </c>
      <c r="J315" t="s">
        <v>32</v>
      </c>
      <c r="K315" t="s">
        <v>33</v>
      </c>
      <c r="L315" t="s">
        <v>50</v>
      </c>
      <c r="M315" t="s">
        <v>51</v>
      </c>
      <c r="N315" t="s">
        <v>23</v>
      </c>
      <c r="O315" t="s">
        <v>42</v>
      </c>
      <c r="P315" t="s">
        <v>36</v>
      </c>
      <c r="Q315" t="s">
        <v>26</v>
      </c>
      <c r="R315" t="s">
        <v>27</v>
      </c>
      <c r="S315">
        <f>IF(enquiry_analysis_data[[#This Row],[enquiry_status]]="Converted",1,0)</f>
        <v>0</v>
      </c>
      <c r="T315" t="s">
        <v>28</v>
      </c>
    </row>
    <row r="316" spans="1:20" x14ac:dyDescent="0.3">
      <c r="A316">
        <v>321</v>
      </c>
      <c r="B316" s="1">
        <v>46070.841134259259</v>
      </c>
      <c r="C316" s="1" t="str">
        <f>TEXT(enquiry_analysis_data[[#This Row],[enquiry_date]],"mmmm-yyyy")</f>
        <v>February-2026</v>
      </c>
      <c r="D316">
        <f>YEAR(enquiry_analysis_data[[#This Row],[enquiry_date]])</f>
        <v>2026</v>
      </c>
      <c r="E316">
        <f>MONTH(enquiry_analysis_data[[#This Row],[enquiry_date]])</f>
        <v>2</v>
      </c>
      <c r="F316" t="s">
        <v>647</v>
      </c>
      <c r="G316" t="s">
        <v>648</v>
      </c>
      <c r="H316" s="2">
        <v>9000000318</v>
      </c>
      <c r="I316" t="s">
        <v>66</v>
      </c>
      <c r="J316" t="s">
        <v>128</v>
      </c>
      <c r="K316" t="s">
        <v>67</v>
      </c>
      <c r="L316" t="s">
        <v>144</v>
      </c>
      <c r="M316" t="s">
        <v>145</v>
      </c>
      <c r="N316" t="s">
        <v>101</v>
      </c>
      <c r="O316" t="s">
        <v>42</v>
      </c>
      <c r="P316" t="s">
        <v>36</v>
      </c>
      <c r="Q316" t="s">
        <v>53</v>
      </c>
      <c r="R316" t="s">
        <v>45</v>
      </c>
      <c r="S316">
        <f>IF(enquiry_analysis_data[[#This Row],[enquiry_status]]="Converted",1,0)</f>
        <v>0</v>
      </c>
      <c r="T316" t="s">
        <v>28</v>
      </c>
    </row>
    <row r="317" spans="1:20" x14ac:dyDescent="0.3">
      <c r="A317">
        <v>452</v>
      </c>
      <c r="B317" s="1">
        <v>46071.328344907408</v>
      </c>
      <c r="C317" s="1" t="str">
        <f>TEXT(enquiry_analysis_data[[#This Row],[enquiry_date]],"mmmm-yyyy")</f>
        <v>February-2026</v>
      </c>
      <c r="D317">
        <f>YEAR(enquiry_analysis_data[[#This Row],[enquiry_date]])</f>
        <v>2026</v>
      </c>
      <c r="E317">
        <f>MONTH(enquiry_analysis_data[[#This Row],[enquiry_date]])</f>
        <v>2</v>
      </c>
      <c r="F317" t="s">
        <v>649</v>
      </c>
      <c r="G317" t="s">
        <v>650</v>
      </c>
      <c r="H317" s="2">
        <v>9000000449</v>
      </c>
      <c r="I317" t="s">
        <v>71</v>
      </c>
      <c r="J317" t="s">
        <v>49</v>
      </c>
      <c r="K317" t="s">
        <v>20</v>
      </c>
      <c r="L317" t="s">
        <v>40</v>
      </c>
      <c r="M317" t="s">
        <v>41</v>
      </c>
      <c r="N317" t="s">
        <v>41</v>
      </c>
      <c r="O317" t="s">
        <v>24</v>
      </c>
      <c r="P317" t="s">
        <v>36</v>
      </c>
      <c r="Q317" t="s">
        <v>44</v>
      </c>
      <c r="R317" t="s">
        <v>194</v>
      </c>
      <c r="S317">
        <f>IF(enquiry_analysis_data[[#This Row],[enquiry_status]]="Converted",1,0)</f>
        <v>0</v>
      </c>
      <c r="T317" t="s">
        <v>28</v>
      </c>
    </row>
    <row r="318" spans="1:20" x14ac:dyDescent="0.3">
      <c r="A318">
        <v>231</v>
      </c>
      <c r="B318" s="1">
        <v>46071.809710648151</v>
      </c>
      <c r="C318" s="1" t="str">
        <f>TEXT(enquiry_analysis_data[[#This Row],[enquiry_date]],"mmmm-yyyy")</f>
        <v>February-2026</v>
      </c>
      <c r="D318">
        <f>YEAR(enquiry_analysis_data[[#This Row],[enquiry_date]])</f>
        <v>2026</v>
      </c>
      <c r="E318">
        <f>MONTH(enquiry_analysis_data[[#This Row],[enquiry_date]])</f>
        <v>2</v>
      </c>
      <c r="F318" t="s">
        <v>235</v>
      </c>
      <c r="G318" t="s">
        <v>651</v>
      </c>
      <c r="H318" s="2">
        <v>9000000228</v>
      </c>
      <c r="I318" t="s">
        <v>48</v>
      </c>
      <c r="J318" t="s">
        <v>49</v>
      </c>
      <c r="K318" t="s">
        <v>105</v>
      </c>
      <c r="L318" t="s">
        <v>136</v>
      </c>
      <c r="M318" t="s">
        <v>137</v>
      </c>
      <c r="N318" t="s">
        <v>62</v>
      </c>
      <c r="O318" t="s">
        <v>24</v>
      </c>
      <c r="P318" t="s">
        <v>25</v>
      </c>
      <c r="Q318" t="s">
        <v>37</v>
      </c>
      <c r="R318" t="s">
        <v>68</v>
      </c>
      <c r="S318">
        <f>IF(enquiry_analysis_data[[#This Row],[enquiry_status]]="Converted",1,0)</f>
        <v>1</v>
      </c>
      <c r="T318" t="s">
        <v>28</v>
      </c>
    </row>
    <row r="319" spans="1:20" x14ac:dyDescent="0.3">
      <c r="A319">
        <v>56</v>
      </c>
      <c r="B319" s="1">
        <v>46072.851701388892</v>
      </c>
      <c r="C319" s="1" t="str">
        <f>TEXT(enquiry_analysis_data[[#This Row],[enquiry_date]],"mmmm-yyyy")</f>
        <v>February-2026</v>
      </c>
      <c r="D319">
        <f>YEAR(enquiry_analysis_data[[#This Row],[enquiry_date]])</f>
        <v>2026</v>
      </c>
      <c r="E319">
        <f>MONTH(enquiry_analysis_data[[#This Row],[enquiry_date]])</f>
        <v>2</v>
      </c>
      <c r="F319" t="s">
        <v>217</v>
      </c>
      <c r="G319" t="s">
        <v>652</v>
      </c>
      <c r="H319" s="2">
        <v>9000000053</v>
      </c>
      <c r="I319" t="s">
        <v>71</v>
      </c>
      <c r="J319" t="s">
        <v>19</v>
      </c>
      <c r="K319" t="s">
        <v>20</v>
      </c>
      <c r="L319" t="s">
        <v>99</v>
      </c>
      <c r="M319" t="s">
        <v>100</v>
      </c>
      <c r="N319" t="s">
        <v>101</v>
      </c>
      <c r="O319" t="s">
        <v>42</v>
      </c>
      <c r="P319" t="s">
        <v>52</v>
      </c>
      <c r="Q319" t="s">
        <v>138</v>
      </c>
      <c r="R319" t="s">
        <v>68</v>
      </c>
      <c r="S319">
        <f>IF(enquiry_analysis_data[[#This Row],[enquiry_status]]="Converted",1,0)</f>
        <v>1</v>
      </c>
      <c r="T319" t="s">
        <v>28</v>
      </c>
    </row>
    <row r="320" spans="1:20" x14ac:dyDescent="0.3">
      <c r="A320">
        <v>454</v>
      </c>
      <c r="B320" s="1">
        <v>46073.067754629628</v>
      </c>
      <c r="C320" s="1" t="str">
        <f>TEXT(enquiry_analysis_data[[#This Row],[enquiry_date]],"mmmm-yyyy")</f>
        <v>February-2026</v>
      </c>
      <c r="D320">
        <f>YEAR(enquiry_analysis_data[[#This Row],[enquiry_date]])</f>
        <v>2026</v>
      </c>
      <c r="E320">
        <f>MONTH(enquiry_analysis_data[[#This Row],[enquiry_date]])</f>
        <v>2</v>
      </c>
      <c r="F320" t="s">
        <v>38</v>
      </c>
      <c r="G320" t="s">
        <v>653</v>
      </c>
      <c r="H320" s="2">
        <v>9000000451</v>
      </c>
      <c r="I320" t="s">
        <v>59</v>
      </c>
      <c r="J320" t="s">
        <v>49</v>
      </c>
      <c r="K320" t="s">
        <v>20</v>
      </c>
      <c r="L320" t="s">
        <v>78</v>
      </c>
      <c r="M320" t="s">
        <v>79</v>
      </c>
      <c r="N320" t="s">
        <v>80</v>
      </c>
      <c r="O320" t="s">
        <v>42</v>
      </c>
      <c r="P320" t="s">
        <v>25</v>
      </c>
      <c r="Q320" t="s">
        <v>44</v>
      </c>
      <c r="R320" t="s">
        <v>45</v>
      </c>
      <c r="S320">
        <f>IF(enquiry_analysis_data[[#This Row],[enquiry_status]]="Converted",1,0)</f>
        <v>0</v>
      </c>
      <c r="T320" t="s">
        <v>28</v>
      </c>
    </row>
    <row r="321" spans="1:20" x14ac:dyDescent="0.3">
      <c r="A321">
        <v>325</v>
      </c>
      <c r="B321" s="1">
        <v>46073.714733796296</v>
      </c>
      <c r="C321" s="1" t="str">
        <f>TEXT(enquiry_analysis_data[[#This Row],[enquiry_date]],"mmmm-yyyy")</f>
        <v>February-2026</v>
      </c>
      <c r="D321">
        <f>YEAR(enquiry_analysis_data[[#This Row],[enquiry_date]])</f>
        <v>2026</v>
      </c>
      <c r="E321">
        <f>MONTH(enquiry_analysis_data[[#This Row],[enquiry_date]])</f>
        <v>2</v>
      </c>
      <c r="F321" t="s">
        <v>464</v>
      </c>
      <c r="G321" t="s">
        <v>654</v>
      </c>
      <c r="H321" s="2">
        <v>9000000322</v>
      </c>
      <c r="I321" t="s">
        <v>59</v>
      </c>
      <c r="J321" t="s">
        <v>49</v>
      </c>
      <c r="K321" t="s">
        <v>33</v>
      </c>
      <c r="L321" t="s">
        <v>144</v>
      </c>
      <c r="M321" t="s">
        <v>145</v>
      </c>
      <c r="N321" t="s">
        <v>101</v>
      </c>
      <c r="O321" t="s">
        <v>42</v>
      </c>
      <c r="P321" t="s">
        <v>52</v>
      </c>
      <c r="Q321" t="s">
        <v>138</v>
      </c>
      <c r="R321" t="s">
        <v>56</v>
      </c>
      <c r="S321">
        <f>IF(enquiry_analysis_data[[#This Row],[enquiry_status]]="Converted",1,0)</f>
        <v>0</v>
      </c>
      <c r="T321" t="s">
        <v>28</v>
      </c>
    </row>
    <row r="322" spans="1:20" x14ac:dyDescent="0.3">
      <c r="A322">
        <v>434</v>
      </c>
      <c r="B322" s="1">
        <v>46073.899062500001</v>
      </c>
      <c r="C322" s="1" t="str">
        <f>TEXT(enquiry_analysis_data[[#This Row],[enquiry_date]],"mmmm-yyyy")</f>
        <v>February-2026</v>
      </c>
      <c r="D322">
        <f>YEAR(enquiry_analysis_data[[#This Row],[enquiry_date]])</f>
        <v>2026</v>
      </c>
      <c r="E322">
        <f>MONTH(enquiry_analysis_data[[#This Row],[enquiry_date]])</f>
        <v>2</v>
      </c>
      <c r="F322" t="s">
        <v>281</v>
      </c>
      <c r="G322" t="s">
        <v>655</v>
      </c>
      <c r="H322" s="2">
        <v>9000000431</v>
      </c>
      <c r="I322" t="s">
        <v>31</v>
      </c>
      <c r="J322" t="s">
        <v>104</v>
      </c>
      <c r="K322" t="s">
        <v>105</v>
      </c>
      <c r="L322" t="s">
        <v>21</v>
      </c>
      <c r="M322" t="s">
        <v>22</v>
      </c>
      <c r="N322" t="s">
        <v>23</v>
      </c>
      <c r="O322" t="s">
        <v>24</v>
      </c>
      <c r="P322" t="s">
        <v>25</v>
      </c>
      <c r="Q322" t="s">
        <v>26</v>
      </c>
      <c r="R322" t="s">
        <v>68</v>
      </c>
      <c r="S322">
        <f>IF(enquiry_analysis_data[[#This Row],[enquiry_status]]="Converted",1,0)</f>
        <v>1</v>
      </c>
      <c r="T322" t="s">
        <v>28</v>
      </c>
    </row>
    <row r="323" spans="1:20" x14ac:dyDescent="0.3">
      <c r="A323">
        <v>396</v>
      </c>
      <c r="B323" s="1">
        <v>46074.779976851853</v>
      </c>
      <c r="C323" s="1" t="str">
        <f>TEXT(enquiry_analysis_data[[#This Row],[enquiry_date]],"mmmm-yyyy")</f>
        <v>February-2026</v>
      </c>
      <c r="D323">
        <f>YEAR(enquiry_analysis_data[[#This Row],[enquiry_date]])</f>
        <v>2026</v>
      </c>
      <c r="E323">
        <f>MONTH(enquiry_analysis_data[[#This Row],[enquiry_date]])</f>
        <v>2</v>
      </c>
      <c r="F323" t="s">
        <v>467</v>
      </c>
      <c r="G323" t="s">
        <v>656</v>
      </c>
      <c r="H323" s="2">
        <v>9000000393</v>
      </c>
      <c r="I323" t="s">
        <v>71</v>
      </c>
      <c r="J323" t="s">
        <v>19</v>
      </c>
      <c r="K323" t="s">
        <v>33</v>
      </c>
      <c r="L323" t="s">
        <v>60</v>
      </c>
      <c r="M323" t="s">
        <v>61</v>
      </c>
      <c r="N323" t="s">
        <v>62</v>
      </c>
      <c r="O323" t="s">
        <v>42</v>
      </c>
      <c r="P323" t="s">
        <v>43</v>
      </c>
      <c r="Q323" t="s">
        <v>141</v>
      </c>
      <c r="R323" t="s">
        <v>56</v>
      </c>
      <c r="S323">
        <f>IF(enquiry_analysis_data[[#This Row],[enquiry_status]]="Converted",1,0)</f>
        <v>0</v>
      </c>
      <c r="T323" t="s">
        <v>28</v>
      </c>
    </row>
    <row r="324" spans="1:20" x14ac:dyDescent="0.3">
      <c r="A324">
        <v>157</v>
      </c>
      <c r="B324" s="1">
        <v>46076.700833333336</v>
      </c>
      <c r="C324" s="1" t="str">
        <f>TEXT(enquiry_analysis_data[[#This Row],[enquiry_date]],"mmmm-yyyy")</f>
        <v>February-2026</v>
      </c>
      <c r="D324">
        <f>YEAR(enquiry_analysis_data[[#This Row],[enquiry_date]])</f>
        <v>2026</v>
      </c>
      <c r="E324">
        <f>MONTH(enquiry_analysis_data[[#This Row],[enquiry_date]])</f>
        <v>2</v>
      </c>
      <c r="F324" t="s">
        <v>159</v>
      </c>
      <c r="G324" t="s">
        <v>657</v>
      </c>
      <c r="H324" s="2">
        <v>9000000154</v>
      </c>
      <c r="I324" t="s">
        <v>48</v>
      </c>
      <c r="J324" t="s">
        <v>32</v>
      </c>
      <c r="K324" t="s">
        <v>33</v>
      </c>
      <c r="L324" t="s">
        <v>40</v>
      </c>
      <c r="M324" t="s">
        <v>41</v>
      </c>
      <c r="N324" t="s">
        <v>41</v>
      </c>
      <c r="O324" t="s">
        <v>42</v>
      </c>
      <c r="P324" t="s">
        <v>36</v>
      </c>
      <c r="Q324" t="s">
        <v>53</v>
      </c>
      <c r="R324" t="s">
        <v>56</v>
      </c>
      <c r="S324">
        <f>IF(enquiry_analysis_data[[#This Row],[enquiry_status]]="Converted",1,0)</f>
        <v>0</v>
      </c>
      <c r="T324" t="s">
        <v>28</v>
      </c>
    </row>
    <row r="325" spans="1:20" x14ac:dyDescent="0.3">
      <c r="A325">
        <v>447</v>
      </c>
      <c r="B325" s="1">
        <v>46076.994895833333</v>
      </c>
      <c r="C325" s="1" t="str">
        <f>TEXT(enquiry_analysis_data[[#This Row],[enquiry_date]],"mmmm-yyyy")</f>
        <v>February-2026</v>
      </c>
      <c r="D325">
        <f>YEAR(enquiry_analysis_data[[#This Row],[enquiry_date]])</f>
        <v>2026</v>
      </c>
      <c r="E325">
        <f>MONTH(enquiry_analysis_data[[#This Row],[enquiry_date]])</f>
        <v>2</v>
      </c>
      <c r="F325" t="s">
        <v>658</v>
      </c>
      <c r="G325" t="s">
        <v>659</v>
      </c>
      <c r="H325" s="2">
        <v>9000000444</v>
      </c>
      <c r="I325" t="s">
        <v>71</v>
      </c>
      <c r="J325" t="s">
        <v>19</v>
      </c>
      <c r="K325" t="s">
        <v>67</v>
      </c>
      <c r="L325" t="s">
        <v>99</v>
      </c>
      <c r="M325" t="s">
        <v>100</v>
      </c>
      <c r="N325" t="s">
        <v>101</v>
      </c>
      <c r="O325" t="s">
        <v>42</v>
      </c>
      <c r="P325" t="s">
        <v>36</v>
      </c>
      <c r="Q325" t="s">
        <v>138</v>
      </c>
      <c r="R325" t="s">
        <v>45</v>
      </c>
      <c r="S325">
        <f>IF(enquiry_analysis_data[[#This Row],[enquiry_status]]="Converted",1,0)</f>
        <v>0</v>
      </c>
      <c r="T325" t="s">
        <v>28</v>
      </c>
    </row>
    <row r="326" spans="1:20" x14ac:dyDescent="0.3">
      <c r="A326">
        <v>174</v>
      </c>
      <c r="B326" s="1">
        <v>46077.26189814815</v>
      </c>
      <c r="C326" s="1" t="str">
        <f>TEXT(enquiry_analysis_data[[#This Row],[enquiry_date]],"mmmm-yyyy")</f>
        <v>February-2026</v>
      </c>
      <c r="D326">
        <f>YEAR(enquiry_analysis_data[[#This Row],[enquiry_date]])</f>
        <v>2026</v>
      </c>
      <c r="E326">
        <f>MONTH(enquiry_analysis_data[[#This Row],[enquiry_date]])</f>
        <v>2</v>
      </c>
      <c r="F326" t="s">
        <v>660</v>
      </c>
      <c r="G326" t="s">
        <v>661</v>
      </c>
      <c r="H326" s="2">
        <v>9000000171</v>
      </c>
      <c r="I326" t="s">
        <v>93</v>
      </c>
      <c r="J326" t="s">
        <v>19</v>
      </c>
      <c r="K326" t="s">
        <v>33</v>
      </c>
      <c r="L326" t="s">
        <v>99</v>
      </c>
      <c r="M326" t="s">
        <v>100</v>
      </c>
      <c r="N326" t="s">
        <v>101</v>
      </c>
      <c r="O326" t="s">
        <v>42</v>
      </c>
      <c r="P326" t="s">
        <v>52</v>
      </c>
      <c r="Q326" t="s">
        <v>53</v>
      </c>
      <c r="R326" t="s">
        <v>45</v>
      </c>
      <c r="S326">
        <f>IF(enquiry_analysis_data[[#This Row],[enquiry_status]]="Converted",1,0)</f>
        <v>0</v>
      </c>
      <c r="T326" t="s">
        <v>28</v>
      </c>
    </row>
    <row r="327" spans="1:20" x14ac:dyDescent="0.3">
      <c r="A327">
        <v>427</v>
      </c>
      <c r="B327" s="1">
        <v>46078.259120370371</v>
      </c>
      <c r="C327" s="1" t="str">
        <f>TEXT(enquiry_analysis_data[[#This Row],[enquiry_date]],"mmmm-yyyy")</f>
        <v>February-2026</v>
      </c>
      <c r="D327">
        <f>YEAR(enquiry_analysis_data[[#This Row],[enquiry_date]])</f>
        <v>2026</v>
      </c>
      <c r="E327">
        <f>MONTH(enquiry_analysis_data[[#This Row],[enquiry_date]])</f>
        <v>2</v>
      </c>
      <c r="F327" t="s">
        <v>173</v>
      </c>
      <c r="G327" t="s">
        <v>662</v>
      </c>
      <c r="H327" s="2">
        <v>9000000424</v>
      </c>
      <c r="I327" t="s">
        <v>48</v>
      </c>
      <c r="J327" t="s">
        <v>19</v>
      </c>
      <c r="K327" t="s">
        <v>33</v>
      </c>
      <c r="L327" t="s">
        <v>106</v>
      </c>
      <c r="M327" t="s">
        <v>107</v>
      </c>
      <c r="N327" t="s">
        <v>108</v>
      </c>
      <c r="O327" t="s">
        <v>24</v>
      </c>
      <c r="P327" t="s">
        <v>36</v>
      </c>
      <c r="Q327" t="s">
        <v>138</v>
      </c>
      <c r="R327" t="s">
        <v>114</v>
      </c>
      <c r="S327">
        <f>IF(enquiry_analysis_data[[#This Row],[enquiry_status]]="Converted",1,0)</f>
        <v>0</v>
      </c>
      <c r="T327" t="s">
        <v>28</v>
      </c>
    </row>
    <row r="328" spans="1:20" x14ac:dyDescent="0.3">
      <c r="A328">
        <v>378</v>
      </c>
      <c r="B328" s="1">
        <v>46080.500092592592</v>
      </c>
      <c r="C328" s="1" t="str">
        <f>TEXT(enquiry_analysis_data[[#This Row],[enquiry_date]],"mmmm-yyyy")</f>
        <v>February-2026</v>
      </c>
      <c r="D328">
        <f>YEAR(enquiry_analysis_data[[#This Row],[enquiry_date]])</f>
        <v>2026</v>
      </c>
      <c r="E328">
        <f>MONTH(enquiry_analysis_data[[#This Row],[enquiry_date]])</f>
        <v>2</v>
      </c>
      <c r="F328" t="s">
        <v>663</v>
      </c>
      <c r="G328" t="s">
        <v>664</v>
      </c>
      <c r="H328" s="2">
        <v>9000000375</v>
      </c>
      <c r="I328" t="s">
        <v>18</v>
      </c>
      <c r="J328" t="s">
        <v>104</v>
      </c>
      <c r="K328" t="s">
        <v>105</v>
      </c>
      <c r="L328" t="s">
        <v>60</v>
      </c>
      <c r="M328" t="s">
        <v>61</v>
      </c>
      <c r="N328" t="s">
        <v>62</v>
      </c>
      <c r="O328" t="s">
        <v>24</v>
      </c>
      <c r="P328" t="s">
        <v>25</v>
      </c>
      <c r="Q328" t="s">
        <v>26</v>
      </c>
      <c r="R328" t="s">
        <v>68</v>
      </c>
      <c r="S328">
        <f>IF(enquiry_analysis_data[[#This Row],[enquiry_status]]="Converted",1,0)</f>
        <v>1</v>
      </c>
      <c r="T328" t="s">
        <v>28</v>
      </c>
    </row>
    <row r="329" spans="1:20" x14ac:dyDescent="0.3">
      <c r="A329">
        <v>114</v>
      </c>
      <c r="B329" s="1">
        <v>46084.643854166665</v>
      </c>
      <c r="C329" s="1" t="str">
        <f>TEXT(enquiry_analysis_data[[#This Row],[enquiry_date]],"mmmm-yyyy")</f>
        <v>March-2026</v>
      </c>
      <c r="D329">
        <f>YEAR(enquiry_analysis_data[[#This Row],[enquiry_date]])</f>
        <v>2026</v>
      </c>
      <c r="E329">
        <f>MONTH(enquiry_analysis_data[[#This Row],[enquiry_date]])</f>
        <v>3</v>
      </c>
      <c r="F329" t="s">
        <v>665</v>
      </c>
      <c r="G329" t="s">
        <v>666</v>
      </c>
      <c r="H329" s="2">
        <v>9000000111</v>
      </c>
      <c r="I329" t="s">
        <v>59</v>
      </c>
      <c r="J329" t="s">
        <v>128</v>
      </c>
      <c r="K329" t="s">
        <v>20</v>
      </c>
      <c r="L329" t="s">
        <v>78</v>
      </c>
      <c r="M329" t="s">
        <v>79</v>
      </c>
      <c r="N329" t="s">
        <v>80</v>
      </c>
      <c r="O329" t="s">
        <v>24</v>
      </c>
      <c r="P329" t="s">
        <v>25</v>
      </c>
      <c r="Q329" t="s">
        <v>53</v>
      </c>
      <c r="R329" t="s">
        <v>114</v>
      </c>
      <c r="S329">
        <f>IF(enquiry_analysis_data[[#This Row],[enquiry_status]]="Converted",1,0)</f>
        <v>0</v>
      </c>
      <c r="T329" t="s">
        <v>28</v>
      </c>
    </row>
    <row r="330" spans="1:20" x14ac:dyDescent="0.3">
      <c r="A330">
        <v>355</v>
      </c>
      <c r="B330" s="1">
        <v>46087.22284722222</v>
      </c>
      <c r="C330" s="1" t="str">
        <f>TEXT(enquiry_analysis_data[[#This Row],[enquiry_date]],"mmmm-yyyy")</f>
        <v>March-2026</v>
      </c>
      <c r="D330">
        <f>YEAR(enquiry_analysis_data[[#This Row],[enquiry_date]])</f>
        <v>2026</v>
      </c>
      <c r="E330">
        <f>MONTH(enquiry_analysis_data[[#This Row],[enquiry_date]])</f>
        <v>3</v>
      </c>
      <c r="F330" t="s">
        <v>667</v>
      </c>
      <c r="G330" t="s">
        <v>668</v>
      </c>
      <c r="H330" s="2">
        <v>9000000352</v>
      </c>
      <c r="I330" t="s">
        <v>31</v>
      </c>
      <c r="J330" t="s">
        <v>49</v>
      </c>
      <c r="K330" t="s">
        <v>94</v>
      </c>
      <c r="L330" t="s">
        <v>136</v>
      </c>
      <c r="M330" t="s">
        <v>137</v>
      </c>
      <c r="N330" t="s">
        <v>62</v>
      </c>
      <c r="O330" t="s">
        <v>42</v>
      </c>
      <c r="P330" t="s">
        <v>36</v>
      </c>
      <c r="Q330" t="s">
        <v>138</v>
      </c>
      <c r="R330" t="s">
        <v>56</v>
      </c>
      <c r="S330">
        <f>IF(enquiry_analysis_data[[#This Row],[enquiry_status]]="Converted",1,0)</f>
        <v>0</v>
      </c>
      <c r="T330" t="s">
        <v>28</v>
      </c>
    </row>
    <row r="331" spans="1:20" x14ac:dyDescent="0.3">
      <c r="A331">
        <v>195</v>
      </c>
      <c r="B331" s="1">
        <v>46087.670891203707</v>
      </c>
      <c r="C331" s="1" t="str">
        <f>TEXT(enquiry_analysis_data[[#This Row],[enquiry_date]],"mmmm-yyyy")</f>
        <v>March-2026</v>
      </c>
      <c r="D331">
        <f>YEAR(enquiry_analysis_data[[#This Row],[enquiry_date]])</f>
        <v>2026</v>
      </c>
      <c r="E331">
        <f>MONTH(enquiry_analysis_data[[#This Row],[enquiry_date]])</f>
        <v>3</v>
      </c>
      <c r="F331" t="s">
        <v>492</v>
      </c>
      <c r="G331" t="s">
        <v>669</v>
      </c>
      <c r="H331" s="2">
        <v>9000000192</v>
      </c>
      <c r="I331" t="s">
        <v>123</v>
      </c>
      <c r="J331" t="s">
        <v>49</v>
      </c>
      <c r="K331" t="s">
        <v>33</v>
      </c>
      <c r="L331" t="s">
        <v>34</v>
      </c>
      <c r="M331" t="s">
        <v>35</v>
      </c>
      <c r="N331" t="s">
        <v>35</v>
      </c>
      <c r="O331" t="s">
        <v>24</v>
      </c>
      <c r="P331" t="s">
        <v>36</v>
      </c>
      <c r="Q331" t="s">
        <v>53</v>
      </c>
      <c r="R331" t="s">
        <v>56</v>
      </c>
      <c r="S331">
        <f>IF(enquiry_analysis_data[[#This Row],[enquiry_status]]="Converted",1,0)</f>
        <v>0</v>
      </c>
      <c r="T331" t="s">
        <v>28</v>
      </c>
    </row>
    <row r="332" spans="1:20" x14ac:dyDescent="0.3">
      <c r="A332">
        <v>214</v>
      </c>
      <c r="B332" s="1">
        <v>46091.7812962963</v>
      </c>
      <c r="C332" s="1" t="str">
        <f>TEXT(enquiry_analysis_data[[#This Row],[enquiry_date]],"mmmm-yyyy")</f>
        <v>March-2026</v>
      </c>
      <c r="D332">
        <f>YEAR(enquiry_analysis_data[[#This Row],[enquiry_date]])</f>
        <v>2026</v>
      </c>
      <c r="E332">
        <f>MONTH(enquiry_analysis_data[[#This Row],[enquiry_date]])</f>
        <v>3</v>
      </c>
      <c r="F332" t="s">
        <v>670</v>
      </c>
      <c r="G332" t="s">
        <v>671</v>
      </c>
      <c r="H332" s="2">
        <v>9000000211</v>
      </c>
      <c r="I332" t="s">
        <v>59</v>
      </c>
      <c r="J332" t="s">
        <v>19</v>
      </c>
      <c r="K332" t="s">
        <v>33</v>
      </c>
      <c r="L332" t="s">
        <v>154</v>
      </c>
      <c r="M332" t="s">
        <v>155</v>
      </c>
      <c r="N332" t="s">
        <v>156</v>
      </c>
      <c r="O332" t="s">
        <v>24</v>
      </c>
      <c r="P332" t="s">
        <v>43</v>
      </c>
      <c r="Q332" t="s">
        <v>26</v>
      </c>
      <c r="R332" t="s">
        <v>68</v>
      </c>
      <c r="S332">
        <f>IF(enquiry_analysis_data[[#This Row],[enquiry_status]]="Converted",1,0)</f>
        <v>1</v>
      </c>
      <c r="T332" t="s">
        <v>28</v>
      </c>
    </row>
    <row r="333" spans="1:20" x14ac:dyDescent="0.3">
      <c r="A333">
        <v>315</v>
      </c>
      <c r="B333" s="1">
        <v>46092.587719907409</v>
      </c>
      <c r="C333" s="1" t="str">
        <f>TEXT(enquiry_analysis_data[[#This Row],[enquiry_date]],"mmmm-yyyy")</f>
        <v>March-2026</v>
      </c>
      <c r="D333">
        <f>YEAR(enquiry_analysis_data[[#This Row],[enquiry_date]])</f>
        <v>2026</v>
      </c>
      <c r="E333">
        <f>MONTH(enquiry_analysis_data[[#This Row],[enquiry_date]])</f>
        <v>3</v>
      </c>
      <c r="F333" t="s">
        <v>672</v>
      </c>
      <c r="G333" t="s">
        <v>673</v>
      </c>
      <c r="H333" s="2">
        <v>9000000312</v>
      </c>
      <c r="I333" t="s">
        <v>93</v>
      </c>
      <c r="J333" t="s">
        <v>19</v>
      </c>
      <c r="K333" t="s">
        <v>20</v>
      </c>
      <c r="L333" t="s">
        <v>144</v>
      </c>
      <c r="M333" t="s">
        <v>145</v>
      </c>
      <c r="N333" t="s">
        <v>101</v>
      </c>
      <c r="O333" t="s">
        <v>42</v>
      </c>
      <c r="P333" t="s">
        <v>52</v>
      </c>
      <c r="Q333" t="s">
        <v>53</v>
      </c>
      <c r="R333" t="s">
        <v>27</v>
      </c>
      <c r="S333">
        <f>IF(enquiry_analysis_data[[#This Row],[enquiry_status]]="Converted",1,0)</f>
        <v>0</v>
      </c>
      <c r="T333" t="s">
        <v>28</v>
      </c>
    </row>
    <row r="334" spans="1:20" x14ac:dyDescent="0.3">
      <c r="A334">
        <v>82</v>
      </c>
      <c r="B334" s="1">
        <v>46094.647372685184</v>
      </c>
      <c r="C334" s="1" t="str">
        <f>TEXT(enquiry_analysis_data[[#This Row],[enquiry_date]],"mmmm-yyyy")</f>
        <v>March-2026</v>
      </c>
      <c r="D334">
        <f>YEAR(enquiry_analysis_data[[#This Row],[enquiry_date]])</f>
        <v>2026</v>
      </c>
      <c r="E334">
        <f>MONTH(enquiry_analysis_data[[#This Row],[enquiry_date]])</f>
        <v>3</v>
      </c>
      <c r="F334" t="s">
        <v>674</v>
      </c>
      <c r="G334" t="s">
        <v>675</v>
      </c>
      <c r="H334" s="2">
        <v>9000000079</v>
      </c>
      <c r="I334" t="s">
        <v>77</v>
      </c>
      <c r="J334" t="s">
        <v>49</v>
      </c>
      <c r="K334" t="s">
        <v>105</v>
      </c>
      <c r="L334" t="s">
        <v>154</v>
      </c>
      <c r="M334" t="s">
        <v>155</v>
      </c>
      <c r="N334" t="s">
        <v>156</v>
      </c>
      <c r="O334" t="s">
        <v>42</v>
      </c>
      <c r="P334" t="s">
        <v>25</v>
      </c>
      <c r="Q334" t="s">
        <v>63</v>
      </c>
      <c r="R334" t="s">
        <v>56</v>
      </c>
      <c r="S334">
        <f>IF(enquiry_analysis_data[[#This Row],[enquiry_status]]="Converted",1,0)</f>
        <v>0</v>
      </c>
      <c r="T334" t="s">
        <v>28</v>
      </c>
    </row>
    <row r="335" spans="1:20" x14ac:dyDescent="0.3">
      <c r="A335">
        <v>258</v>
      </c>
      <c r="B335" s="1">
        <v>46096.296631944446</v>
      </c>
      <c r="C335" s="1" t="str">
        <f>TEXT(enquiry_analysis_data[[#This Row],[enquiry_date]],"mmmm-yyyy")</f>
        <v>March-2026</v>
      </c>
      <c r="D335">
        <f>YEAR(enquiry_analysis_data[[#This Row],[enquiry_date]])</f>
        <v>2026</v>
      </c>
      <c r="E335">
        <f>MONTH(enquiry_analysis_data[[#This Row],[enquiry_date]])</f>
        <v>3</v>
      </c>
      <c r="F335" t="s">
        <v>219</v>
      </c>
      <c r="G335" t="s">
        <v>676</v>
      </c>
      <c r="H335" s="2">
        <v>9000000255</v>
      </c>
      <c r="I335" t="s">
        <v>48</v>
      </c>
      <c r="J335" t="s">
        <v>19</v>
      </c>
      <c r="K335" t="s">
        <v>20</v>
      </c>
      <c r="L335" t="s">
        <v>60</v>
      </c>
      <c r="M335" t="s">
        <v>61</v>
      </c>
      <c r="N335" t="s">
        <v>62</v>
      </c>
      <c r="O335" t="s">
        <v>24</v>
      </c>
      <c r="P335" t="s">
        <v>43</v>
      </c>
      <c r="Q335" t="s">
        <v>26</v>
      </c>
      <c r="R335" t="s">
        <v>68</v>
      </c>
      <c r="S335">
        <f>IF(enquiry_analysis_data[[#This Row],[enquiry_status]]="Converted",1,0)</f>
        <v>1</v>
      </c>
      <c r="T335" t="s">
        <v>28</v>
      </c>
    </row>
    <row r="336" spans="1:20" x14ac:dyDescent="0.3">
      <c r="A336">
        <v>198</v>
      </c>
      <c r="B336" s="1">
        <v>46096.414282407408</v>
      </c>
      <c r="C336" s="1" t="str">
        <f>TEXT(enquiry_analysis_data[[#This Row],[enquiry_date]],"mmmm-yyyy")</f>
        <v>March-2026</v>
      </c>
      <c r="D336">
        <f>YEAR(enquiry_analysis_data[[#This Row],[enquiry_date]])</f>
        <v>2026</v>
      </c>
      <c r="E336">
        <f>MONTH(enquiry_analysis_data[[#This Row],[enquiry_date]])</f>
        <v>3</v>
      </c>
      <c r="F336" t="s">
        <v>677</v>
      </c>
      <c r="G336" t="s">
        <v>678</v>
      </c>
      <c r="H336" s="2">
        <v>9000000195</v>
      </c>
      <c r="I336" t="s">
        <v>66</v>
      </c>
      <c r="J336" t="s">
        <v>49</v>
      </c>
      <c r="K336" t="s">
        <v>105</v>
      </c>
      <c r="L336" t="s">
        <v>78</v>
      </c>
      <c r="M336" t="s">
        <v>79</v>
      </c>
      <c r="N336" t="s">
        <v>80</v>
      </c>
      <c r="O336" t="s">
        <v>42</v>
      </c>
      <c r="P336" t="s">
        <v>25</v>
      </c>
      <c r="Q336" t="s">
        <v>26</v>
      </c>
      <c r="R336" t="s">
        <v>27</v>
      </c>
      <c r="S336">
        <f>IF(enquiry_analysis_data[[#This Row],[enquiry_status]]="Converted",1,0)</f>
        <v>0</v>
      </c>
      <c r="T336" t="s">
        <v>28</v>
      </c>
    </row>
    <row r="337" spans="1:20" x14ac:dyDescent="0.3">
      <c r="A337">
        <v>194</v>
      </c>
      <c r="B337" s="1">
        <v>46097.225162037037</v>
      </c>
      <c r="C337" s="1" t="str">
        <f>TEXT(enquiry_analysis_data[[#This Row],[enquiry_date]],"mmmm-yyyy")</f>
        <v>March-2026</v>
      </c>
      <c r="D337">
        <f>YEAR(enquiry_analysis_data[[#This Row],[enquiry_date]])</f>
        <v>2026</v>
      </c>
      <c r="E337">
        <f>MONTH(enquiry_analysis_data[[#This Row],[enquiry_date]])</f>
        <v>3</v>
      </c>
      <c r="F337" t="s">
        <v>679</v>
      </c>
      <c r="G337" t="s">
        <v>680</v>
      </c>
      <c r="H337" s="2">
        <v>9000000191</v>
      </c>
      <c r="I337" t="s">
        <v>66</v>
      </c>
      <c r="J337" t="s">
        <v>37</v>
      </c>
      <c r="K337" t="s">
        <v>94</v>
      </c>
      <c r="L337" t="s">
        <v>245</v>
      </c>
      <c r="M337" t="s">
        <v>246</v>
      </c>
      <c r="N337" t="s">
        <v>156</v>
      </c>
      <c r="O337" t="s">
        <v>24</v>
      </c>
      <c r="P337" t="s">
        <v>25</v>
      </c>
      <c r="Q337" t="s">
        <v>141</v>
      </c>
      <c r="R337" t="s">
        <v>68</v>
      </c>
      <c r="S337">
        <f>IF(enquiry_analysis_data[[#This Row],[enquiry_status]]="Converted",1,0)</f>
        <v>1</v>
      </c>
      <c r="T337" t="s">
        <v>28</v>
      </c>
    </row>
    <row r="338" spans="1:20" x14ac:dyDescent="0.3">
      <c r="A338">
        <v>489</v>
      </c>
      <c r="B338" s="1">
        <v>46097.60528935185</v>
      </c>
      <c r="C338" s="1" t="str">
        <f>TEXT(enquiry_analysis_data[[#This Row],[enquiry_date]],"mmmm-yyyy")</f>
        <v>March-2026</v>
      </c>
      <c r="D338">
        <f>YEAR(enquiry_analysis_data[[#This Row],[enquiry_date]])</f>
        <v>2026</v>
      </c>
      <c r="E338">
        <f>MONTH(enquiry_analysis_data[[#This Row],[enquiry_date]])</f>
        <v>3</v>
      </c>
      <c r="F338" t="s">
        <v>681</v>
      </c>
      <c r="G338" t="s">
        <v>682</v>
      </c>
      <c r="H338" s="2">
        <v>9000000486</v>
      </c>
      <c r="I338" t="s">
        <v>93</v>
      </c>
      <c r="J338" t="s">
        <v>49</v>
      </c>
      <c r="K338" t="s">
        <v>20</v>
      </c>
      <c r="L338" t="s">
        <v>136</v>
      </c>
      <c r="M338" t="s">
        <v>137</v>
      </c>
      <c r="N338" t="s">
        <v>62</v>
      </c>
      <c r="O338" t="s">
        <v>24</v>
      </c>
      <c r="P338" t="s">
        <v>36</v>
      </c>
      <c r="Q338" t="s">
        <v>141</v>
      </c>
      <c r="R338" t="s">
        <v>114</v>
      </c>
      <c r="S338">
        <f>IF(enquiry_analysis_data[[#This Row],[enquiry_status]]="Converted",1,0)</f>
        <v>0</v>
      </c>
      <c r="T338" t="s">
        <v>28</v>
      </c>
    </row>
    <row r="339" spans="1:20" x14ac:dyDescent="0.3">
      <c r="A339">
        <v>227</v>
      </c>
      <c r="B339" s="1">
        <v>46097.728692129633</v>
      </c>
      <c r="C339" s="1" t="str">
        <f>TEXT(enquiry_analysis_data[[#This Row],[enquiry_date]],"mmmm-yyyy")</f>
        <v>March-2026</v>
      </c>
      <c r="D339">
        <f>YEAR(enquiry_analysis_data[[#This Row],[enquiry_date]])</f>
        <v>2026</v>
      </c>
      <c r="E339">
        <f>MONTH(enquiry_analysis_data[[#This Row],[enquiry_date]])</f>
        <v>3</v>
      </c>
      <c r="F339" t="s">
        <v>683</v>
      </c>
      <c r="G339" t="s">
        <v>684</v>
      </c>
      <c r="H339" s="2">
        <v>9000000224</v>
      </c>
      <c r="I339" t="s">
        <v>123</v>
      </c>
      <c r="J339" t="s">
        <v>128</v>
      </c>
      <c r="K339" t="s">
        <v>20</v>
      </c>
      <c r="L339" t="s">
        <v>245</v>
      </c>
      <c r="M339" t="s">
        <v>246</v>
      </c>
      <c r="N339" t="s">
        <v>156</v>
      </c>
      <c r="O339" t="s">
        <v>24</v>
      </c>
      <c r="P339" t="s">
        <v>52</v>
      </c>
      <c r="Q339" t="s">
        <v>26</v>
      </c>
      <c r="R339" t="s">
        <v>68</v>
      </c>
      <c r="S339">
        <f>IF(enquiry_analysis_data[[#This Row],[enquiry_status]]="Converted",1,0)</f>
        <v>1</v>
      </c>
      <c r="T339" t="s">
        <v>28</v>
      </c>
    </row>
    <row r="340" spans="1:20" x14ac:dyDescent="0.3">
      <c r="A340">
        <v>236</v>
      </c>
      <c r="B340" s="1">
        <v>46098.110567129632</v>
      </c>
      <c r="C340" s="1" t="str">
        <f>TEXT(enquiry_analysis_data[[#This Row],[enquiry_date]],"mmmm-yyyy")</f>
        <v>March-2026</v>
      </c>
      <c r="D340">
        <f>YEAR(enquiry_analysis_data[[#This Row],[enquiry_date]])</f>
        <v>2026</v>
      </c>
      <c r="E340">
        <f>MONTH(enquiry_analysis_data[[#This Row],[enquiry_date]])</f>
        <v>3</v>
      </c>
      <c r="F340" t="s">
        <v>369</v>
      </c>
      <c r="G340" t="s">
        <v>685</v>
      </c>
      <c r="H340" s="2">
        <v>9000000233</v>
      </c>
      <c r="I340" t="s">
        <v>123</v>
      </c>
      <c r="J340" t="s">
        <v>32</v>
      </c>
      <c r="K340" t="s">
        <v>33</v>
      </c>
      <c r="L340" t="s">
        <v>78</v>
      </c>
      <c r="M340" t="s">
        <v>79</v>
      </c>
      <c r="N340" t="s">
        <v>80</v>
      </c>
      <c r="O340" t="s">
        <v>24</v>
      </c>
      <c r="P340" t="s">
        <v>52</v>
      </c>
      <c r="Q340" t="s">
        <v>53</v>
      </c>
      <c r="R340" t="s">
        <v>56</v>
      </c>
      <c r="S340">
        <f>IF(enquiry_analysis_data[[#This Row],[enquiry_status]]="Converted",1,0)</f>
        <v>0</v>
      </c>
      <c r="T340" t="s">
        <v>28</v>
      </c>
    </row>
    <row r="341" spans="1:20" x14ac:dyDescent="0.3">
      <c r="A341">
        <v>449</v>
      </c>
      <c r="B341" s="1">
        <v>46101.893263888887</v>
      </c>
      <c r="C341" s="1" t="str">
        <f>TEXT(enquiry_analysis_data[[#This Row],[enquiry_date]],"mmmm-yyyy")</f>
        <v>March-2026</v>
      </c>
      <c r="D341">
        <f>YEAR(enquiry_analysis_data[[#This Row],[enquiry_date]])</f>
        <v>2026</v>
      </c>
      <c r="E341">
        <f>MONTH(enquiry_analysis_data[[#This Row],[enquiry_date]])</f>
        <v>3</v>
      </c>
      <c r="F341" t="s">
        <v>686</v>
      </c>
      <c r="G341" t="s">
        <v>687</v>
      </c>
      <c r="H341" s="2">
        <v>9000000446</v>
      </c>
      <c r="I341" t="s">
        <v>71</v>
      </c>
      <c r="J341" t="s">
        <v>128</v>
      </c>
      <c r="K341" t="s">
        <v>20</v>
      </c>
      <c r="L341" t="s">
        <v>21</v>
      </c>
      <c r="M341" t="s">
        <v>22</v>
      </c>
      <c r="N341" t="s">
        <v>23</v>
      </c>
      <c r="O341" t="s">
        <v>42</v>
      </c>
      <c r="P341" t="s">
        <v>52</v>
      </c>
      <c r="Q341" t="s">
        <v>26</v>
      </c>
      <c r="R341" t="s">
        <v>45</v>
      </c>
      <c r="S341">
        <f>IF(enquiry_analysis_data[[#This Row],[enquiry_status]]="Converted",1,0)</f>
        <v>0</v>
      </c>
      <c r="T341" t="s">
        <v>28</v>
      </c>
    </row>
    <row r="342" spans="1:20" x14ac:dyDescent="0.3">
      <c r="A342">
        <v>463</v>
      </c>
      <c r="B342" s="1">
        <v>46102.226018518515</v>
      </c>
      <c r="C342" s="1" t="str">
        <f>TEXT(enquiry_analysis_data[[#This Row],[enquiry_date]],"mmmm-yyyy")</f>
        <v>March-2026</v>
      </c>
      <c r="D342">
        <f>YEAR(enquiry_analysis_data[[#This Row],[enquiry_date]])</f>
        <v>2026</v>
      </c>
      <c r="E342">
        <f>MONTH(enquiry_analysis_data[[#This Row],[enquiry_date]])</f>
        <v>3</v>
      </c>
      <c r="F342" t="s">
        <v>171</v>
      </c>
      <c r="G342" t="s">
        <v>688</v>
      </c>
      <c r="H342" s="2">
        <v>9000000460</v>
      </c>
      <c r="I342" t="s">
        <v>31</v>
      </c>
      <c r="J342" t="s">
        <v>128</v>
      </c>
      <c r="K342" t="s">
        <v>20</v>
      </c>
      <c r="L342" t="s">
        <v>245</v>
      </c>
      <c r="M342" t="s">
        <v>246</v>
      </c>
      <c r="N342" t="s">
        <v>156</v>
      </c>
      <c r="O342" t="s">
        <v>42</v>
      </c>
      <c r="P342" t="s">
        <v>52</v>
      </c>
      <c r="Q342" t="s">
        <v>26</v>
      </c>
      <c r="R342" t="s">
        <v>68</v>
      </c>
      <c r="S342">
        <f>IF(enquiry_analysis_data[[#This Row],[enquiry_status]]="Converted",1,0)</f>
        <v>1</v>
      </c>
      <c r="T342" t="s">
        <v>28</v>
      </c>
    </row>
    <row r="343" spans="1:20" x14ac:dyDescent="0.3">
      <c r="A343">
        <v>387</v>
      </c>
      <c r="B343" s="1">
        <v>46102.869699074072</v>
      </c>
      <c r="C343" s="1" t="str">
        <f>TEXT(enquiry_analysis_data[[#This Row],[enquiry_date]],"mmmm-yyyy")</f>
        <v>March-2026</v>
      </c>
      <c r="D343">
        <f>YEAR(enquiry_analysis_data[[#This Row],[enquiry_date]])</f>
        <v>2026</v>
      </c>
      <c r="E343">
        <f>MONTH(enquiry_analysis_data[[#This Row],[enquiry_date]])</f>
        <v>3</v>
      </c>
      <c r="F343" t="s">
        <v>689</v>
      </c>
      <c r="G343" t="s">
        <v>690</v>
      </c>
      <c r="H343" s="2">
        <v>9000000384</v>
      </c>
      <c r="I343" t="s">
        <v>93</v>
      </c>
      <c r="J343" t="s">
        <v>49</v>
      </c>
      <c r="K343" t="s">
        <v>33</v>
      </c>
      <c r="L343" t="s">
        <v>21</v>
      </c>
      <c r="M343" t="s">
        <v>22</v>
      </c>
      <c r="N343" t="s">
        <v>23</v>
      </c>
      <c r="O343" t="s">
        <v>42</v>
      </c>
      <c r="P343" t="s">
        <v>36</v>
      </c>
      <c r="Q343" t="s">
        <v>83</v>
      </c>
      <c r="R343" t="s">
        <v>114</v>
      </c>
      <c r="S343">
        <f>IF(enquiry_analysis_data[[#This Row],[enquiry_status]]="Converted",1,0)</f>
        <v>0</v>
      </c>
      <c r="T343" t="s">
        <v>28</v>
      </c>
    </row>
    <row r="344" spans="1:20" x14ac:dyDescent="0.3">
      <c r="A344">
        <v>330</v>
      </c>
      <c r="B344" s="1">
        <v>46104.332627314812</v>
      </c>
      <c r="C344" s="1" t="str">
        <f>TEXT(enquiry_analysis_data[[#This Row],[enquiry_date]],"mmmm-yyyy")</f>
        <v>March-2026</v>
      </c>
      <c r="D344">
        <f>YEAR(enquiry_analysis_data[[#This Row],[enquiry_date]])</f>
        <v>2026</v>
      </c>
      <c r="E344">
        <f>MONTH(enquiry_analysis_data[[#This Row],[enquiry_date]])</f>
        <v>3</v>
      </c>
      <c r="F344" t="s">
        <v>195</v>
      </c>
      <c r="G344" t="s">
        <v>691</v>
      </c>
      <c r="H344" s="2">
        <v>9000000327</v>
      </c>
      <c r="I344" t="s">
        <v>123</v>
      </c>
      <c r="J344" t="s">
        <v>49</v>
      </c>
      <c r="K344" t="s">
        <v>20</v>
      </c>
      <c r="L344" t="s">
        <v>50</v>
      </c>
      <c r="M344" t="s">
        <v>51</v>
      </c>
      <c r="N344" t="s">
        <v>23</v>
      </c>
      <c r="O344" t="s">
        <v>24</v>
      </c>
      <c r="P344" t="s">
        <v>52</v>
      </c>
      <c r="Q344" t="s">
        <v>141</v>
      </c>
      <c r="R344" t="s">
        <v>56</v>
      </c>
      <c r="S344">
        <f>IF(enquiry_analysis_data[[#This Row],[enquiry_status]]="Converted",1,0)</f>
        <v>0</v>
      </c>
      <c r="T344" t="s">
        <v>28</v>
      </c>
    </row>
    <row r="345" spans="1:20" x14ac:dyDescent="0.3">
      <c r="A345">
        <v>453</v>
      </c>
      <c r="B345" s="1">
        <v>46106.205231481479</v>
      </c>
      <c r="C345" s="1" t="str">
        <f>TEXT(enquiry_analysis_data[[#This Row],[enquiry_date]],"mmmm-yyyy")</f>
        <v>March-2026</v>
      </c>
      <c r="D345">
        <f>YEAR(enquiry_analysis_data[[#This Row],[enquiry_date]])</f>
        <v>2026</v>
      </c>
      <c r="E345">
        <f>MONTH(enquiry_analysis_data[[#This Row],[enquiry_date]])</f>
        <v>3</v>
      </c>
      <c r="F345" t="s">
        <v>279</v>
      </c>
      <c r="G345" t="s">
        <v>692</v>
      </c>
      <c r="H345" s="2">
        <v>9000000450</v>
      </c>
      <c r="I345" t="s">
        <v>77</v>
      </c>
      <c r="J345" t="s">
        <v>128</v>
      </c>
      <c r="K345" t="s">
        <v>20</v>
      </c>
      <c r="L345" t="s">
        <v>99</v>
      </c>
      <c r="M345" t="s">
        <v>100</v>
      </c>
      <c r="N345" t="s">
        <v>101</v>
      </c>
      <c r="O345" t="s">
        <v>42</v>
      </c>
      <c r="P345" t="s">
        <v>52</v>
      </c>
      <c r="Q345" t="s">
        <v>53</v>
      </c>
      <c r="R345" t="s">
        <v>194</v>
      </c>
      <c r="S345">
        <f>IF(enquiry_analysis_data[[#This Row],[enquiry_status]]="Converted",1,0)</f>
        <v>0</v>
      </c>
      <c r="T345" t="s">
        <v>28</v>
      </c>
    </row>
    <row r="346" spans="1:20" x14ac:dyDescent="0.3">
      <c r="A346">
        <v>8</v>
      </c>
      <c r="B346" s="1">
        <v>46108.862488425926</v>
      </c>
      <c r="C346" s="1" t="str">
        <f>TEXT(enquiry_analysis_data[[#This Row],[enquiry_date]],"mmmm-yyyy")</f>
        <v>March-2026</v>
      </c>
      <c r="D346">
        <f>YEAR(enquiry_analysis_data[[#This Row],[enquiry_date]])</f>
        <v>2026</v>
      </c>
      <c r="E346">
        <f>MONTH(enquiry_analysis_data[[#This Row],[enquiry_date]])</f>
        <v>3</v>
      </c>
      <c r="F346" t="s">
        <v>693</v>
      </c>
      <c r="G346" t="s">
        <v>694</v>
      </c>
      <c r="H346" s="2">
        <v>9000000005</v>
      </c>
      <c r="I346" t="s">
        <v>59</v>
      </c>
      <c r="J346" t="s">
        <v>128</v>
      </c>
      <c r="K346" t="s">
        <v>20</v>
      </c>
      <c r="L346" t="s">
        <v>144</v>
      </c>
      <c r="M346" t="s">
        <v>145</v>
      </c>
      <c r="N346" t="s">
        <v>101</v>
      </c>
      <c r="O346" t="s">
        <v>42</v>
      </c>
      <c r="P346" t="s">
        <v>43</v>
      </c>
      <c r="Q346" t="s">
        <v>26</v>
      </c>
      <c r="R346" t="s">
        <v>114</v>
      </c>
      <c r="S346">
        <f>IF(enquiry_analysis_data[[#This Row],[enquiry_status]]="Converted",1,0)</f>
        <v>0</v>
      </c>
      <c r="T346" t="s">
        <v>28</v>
      </c>
    </row>
    <row r="347" spans="1:20" x14ac:dyDescent="0.3">
      <c r="A347">
        <v>458</v>
      </c>
      <c r="B347" s="1">
        <v>46110.548703703702</v>
      </c>
      <c r="C347" s="1" t="str">
        <f>TEXT(enquiry_analysis_data[[#This Row],[enquiry_date]],"mmmm-yyyy")</f>
        <v>March-2026</v>
      </c>
      <c r="D347">
        <f>YEAR(enquiry_analysis_data[[#This Row],[enquiry_date]])</f>
        <v>2026</v>
      </c>
      <c r="E347">
        <f>MONTH(enquiry_analysis_data[[#This Row],[enquiry_date]])</f>
        <v>3</v>
      </c>
      <c r="F347" t="s">
        <v>695</v>
      </c>
      <c r="G347" t="s">
        <v>696</v>
      </c>
      <c r="H347" s="2">
        <v>9000000455</v>
      </c>
      <c r="I347" t="s">
        <v>66</v>
      </c>
      <c r="J347" t="s">
        <v>49</v>
      </c>
      <c r="K347" t="s">
        <v>20</v>
      </c>
      <c r="L347" t="s">
        <v>136</v>
      </c>
      <c r="M347" t="s">
        <v>137</v>
      </c>
      <c r="N347" t="s">
        <v>62</v>
      </c>
      <c r="O347" t="s">
        <v>42</v>
      </c>
      <c r="P347" t="s">
        <v>52</v>
      </c>
      <c r="Q347" t="s">
        <v>44</v>
      </c>
      <c r="R347" t="s">
        <v>68</v>
      </c>
      <c r="S347">
        <f>IF(enquiry_analysis_data[[#This Row],[enquiry_status]]="Converted",1,0)</f>
        <v>1</v>
      </c>
      <c r="T347" t="s">
        <v>28</v>
      </c>
    </row>
    <row r="348" spans="1:20" x14ac:dyDescent="0.3">
      <c r="A348">
        <v>170</v>
      </c>
      <c r="B348" s="1">
        <v>46111.319189814814</v>
      </c>
      <c r="C348" s="1" t="str">
        <f>TEXT(enquiry_analysis_data[[#This Row],[enquiry_date]],"mmmm-yyyy")</f>
        <v>March-2026</v>
      </c>
      <c r="D348">
        <f>YEAR(enquiry_analysis_data[[#This Row],[enquiry_date]])</f>
        <v>2026</v>
      </c>
      <c r="E348">
        <f>MONTH(enquiry_analysis_data[[#This Row],[enquiry_date]])</f>
        <v>3</v>
      </c>
      <c r="F348" t="s">
        <v>697</v>
      </c>
      <c r="G348" t="s">
        <v>698</v>
      </c>
      <c r="H348" s="2">
        <v>9000000167</v>
      </c>
      <c r="I348" t="s">
        <v>123</v>
      </c>
      <c r="J348" t="s">
        <v>49</v>
      </c>
      <c r="K348" t="s">
        <v>33</v>
      </c>
      <c r="L348" t="s">
        <v>117</v>
      </c>
      <c r="M348" t="s">
        <v>118</v>
      </c>
      <c r="N348" t="s">
        <v>119</v>
      </c>
      <c r="O348" t="s">
        <v>42</v>
      </c>
      <c r="P348" t="s">
        <v>52</v>
      </c>
      <c r="Q348" t="s">
        <v>83</v>
      </c>
      <c r="R348" t="s">
        <v>45</v>
      </c>
      <c r="S348">
        <f>IF(enquiry_analysis_data[[#This Row],[enquiry_status]]="Converted",1,0)</f>
        <v>0</v>
      </c>
      <c r="T348" t="s">
        <v>28</v>
      </c>
    </row>
    <row r="349" spans="1:20" x14ac:dyDescent="0.3">
      <c r="A349">
        <v>374</v>
      </c>
      <c r="B349" s="1">
        <v>46112.113194444442</v>
      </c>
      <c r="C349" s="1" t="str">
        <f>TEXT(enquiry_analysis_data[[#This Row],[enquiry_date]],"mmmm-yyyy")</f>
        <v>March-2026</v>
      </c>
      <c r="D349">
        <f>YEAR(enquiry_analysis_data[[#This Row],[enquiry_date]])</f>
        <v>2026</v>
      </c>
      <c r="E349">
        <f>MONTH(enquiry_analysis_data[[#This Row],[enquiry_date]])</f>
        <v>3</v>
      </c>
      <c r="F349" t="s">
        <v>644</v>
      </c>
      <c r="G349" t="s">
        <v>699</v>
      </c>
      <c r="H349" s="2">
        <v>9000000371</v>
      </c>
      <c r="I349" t="s">
        <v>93</v>
      </c>
      <c r="J349" t="s">
        <v>19</v>
      </c>
      <c r="K349" t="s">
        <v>33</v>
      </c>
      <c r="L349" t="s">
        <v>117</v>
      </c>
      <c r="M349" t="s">
        <v>118</v>
      </c>
      <c r="N349" t="s">
        <v>119</v>
      </c>
      <c r="O349" t="s">
        <v>42</v>
      </c>
      <c r="P349" t="s">
        <v>25</v>
      </c>
      <c r="Q349" t="s">
        <v>37</v>
      </c>
      <c r="R349" t="s">
        <v>56</v>
      </c>
      <c r="S349">
        <f>IF(enquiry_analysis_data[[#This Row],[enquiry_status]]="Converted",1,0)</f>
        <v>0</v>
      </c>
      <c r="T349" t="s">
        <v>28</v>
      </c>
    </row>
    <row r="350" spans="1:20" x14ac:dyDescent="0.3">
      <c r="A350">
        <v>264</v>
      </c>
      <c r="B350" s="1">
        <v>46112.531157407408</v>
      </c>
      <c r="C350" s="1" t="str">
        <f>TEXT(enquiry_analysis_data[[#This Row],[enquiry_date]],"mmmm-yyyy")</f>
        <v>March-2026</v>
      </c>
      <c r="D350">
        <f>YEAR(enquiry_analysis_data[[#This Row],[enquiry_date]])</f>
        <v>2026</v>
      </c>
      <c r="E350">
        <f>MONTH(enquiry_analysis_data[[#This Row],[enquiry_date]])</f>
        <v>3</v>
      </c>
      <c r="F350" t="s">
        <v>700</v>
      </c>
      <c r="G350" t="s">
        <v>701</v>
      </c>
      <c r="H350" s="2">
        <v>9000000261</v>
      </c>
      <c r="I350" t="s">
        <v>88</v>
      </c>
      <c r="J350" t="s">
        <v>49</v>
      </c>
      <c r="K350" t="s">
        <v>20</v>
      </c>
      <c r="L350" t="s">
        <v>144</v>
      </c>
      <c r="M350" t="s">
        <v>145</v>
      </c>
      <c r="N350" t="s">
        <v>101</v>
      </c>
      <c r="O350" t="s">
        <v>42</v>
      </c>
      <c r="P350" t="s">
        <v>43</v>
      </c>
      <c r="Q350" t="s">
        <v>83</v>
      </c>
      <c r="R350" t="s">
        <v>45</v>
      </c>
      <c r="S350">
        <f>IF(enquiry_analysis_data[[#This Row],[enquiry_status]]="Converted",1,0)</f>
        <v>0</v>
      </c>
      <c r="T350" t="s">
        <v>28</v>
      </c>
    </row>
    <row r="351" spans="1:20" x14ac:dyDescent="0.3">
      <c r="A351">
        <v>38</v>
      </c>
      <c r="B351" s="1">
        <v>46115.495983796296</v>
      </c>
      <c r="C351" s="1" t="str">
        <f>TEXT(enquiry_analysis_data[[#This Row],[enquiry_date]],"mmmm-yyyy")</f>
        <v>April-2026</v>
      </c>
      <c r="D351">
        <f>YEAR(enquiry_analysis_data[[#This Row],[enquiry_date]])</f>
        <v>2026</v>
      </c>
      <c r="E351">
        <f>MONTH(enquiry_analysis_data[[#This Row],[enquiry_date]])</f>
        <v>4</v>
      </c>
      <c r="F351" t="s">
        <v>702</v>
      </c>
      <c r="G351" t="s">
        <v>703</v>
      </c>
      <c r="H351" s="2">
        <v>9000000035</v>
      </c>
      <c r="I351" t="s">
        <v>71</v>
      </c>
      <c r="J351" t="s">
        <v>19</v>
      </c>
      <c r="K351" t="s">
        <v>33</v>
      </c>
      <c r="L351" t="s">
        <v>106</v>
      </c>
      <c r="M351" t="s">
        <v>107</v>
      </c>
      <c r="N351" t="s">
        <v>108</v>
      </c>
      <c r="O351" t="s">
        <v>24</v>
      </c>
      <c r="P351" t="s">
        <v>52</v>
      </c>
      <c r="Q351" t="s">
        <v>63</v>
      </c>
      <c r="R351" t="s">
        <v>56</v>
      </c>
      <c r="S351">
        <f>IF(enquiry_analysis_data[[#This Row],[enquiry_status]]="Converted",1,0)</f>
        <v>0</v>
      </c>
      <c r="T351" t="s">
        <v>28</v>
      </c>
    </row>
    <row r="352" spans="1:20" x14ac:dyDescent="0.3">
      <c r="A352">
        <v>322</v>
      </c>
      <c r="B352" s="1">
        <v>46115.609039351853</v>
      </c>
      <c r="C352" s="1" t="str">
        <f>TEXT(enquiry_analysis_data[[#This Row],[enquiry_date]],"mmmm-yyyy")</f>
        <v>April-2026</v>
      </c>
      <c r="D352">
        <f>YEAR(enquiry_analysis_data[[#This Row],[enquiry_date]])</f>
        <v>2026</v>
      </c>
      <c r="E352">
        <f>MONTH(enquiry_analysis_data[[#This Row],[enquiry_date]])</f>
        <v>4</v>
      </c>
      <c r="F352" t="s">
        <v>400</v>
      </c>
      <c r="G352" t="s">
        <v>704</v>
      </c>
      <c r="H352" s="2">
        <v>9000000319</v>
      </c>
      <c r="I352" t="s">
        <v>48</v>
      </c>
      <c r="J352" t="s">
        <v>49</v>
      </c>
      <c r="K352" t="s">
        <v>20</v>
      </c>
      <c r="L352" t="s">
        <v>154</v>
      </c>
      <c r="M352" t="s">
        <v>155</v>
      </c>
      <c r="N352" t="s">
        <v>156</v>
      </c>
      <c r="O352" t="s">
        <v>24</v>
      </c>
      <c r="P352" t="s">
        <v>25</v>
      </c>
      <c r="Q352" t="s">
        <v>63</v>
      </c>
      <c r="R352" t="s">
        <v>114</v>
      </c>
      <c r="S352">
        <f>IF(enquiry_analysis_data[[#This Row],[enquiry_status]]="Converted",1,0)</f>
        <v>0</v>
      </c>
      <c r="T352" t="s">
        <v>28</v>
      </c>
    </row>
    <row r="353" spans="1:20" x14ac:dyDescent="0.3">
      <c r="A353">
        <v>74</v>
      </c>
      <c r="B353" s="1">
        <v>46121.287615740737</v>
      </c>
      <c r="C353" s="1" t="str">
        <f>TEXT(enquiry_analysis_data[[#This Row],[enquiry_date]],"mmmm-yyyy")</f>
        <v>April-2026</v>
      </c>
      <c r="D353">
        <f>YEAR(enquiry_analysis_data[[#This Row],[enquiry_date]])</f>
        <v>2026</v>
      </c>
      <c r="E353">
        <f>MONTH(enquiry_analysis_data[[#This Row],[enquiry_date]])</f>
        <v>4</v>
      </c>
      <c r="F353" t="s">
        <v>152</v>
      </c>
      <c r="G353" t="s">
        <v>705</v>
      </c>
      <c r="H353" s="2">
        <v>9000000071</v>
      </c>
      <c r="I353" t="s">
        <v>31</v>
      </c>
      <c r="J353" t="s">
        <v>49</v>
      </c>
      <c r="K353" t="s">
        <v>20</v>
      </c>
      <c r="L353" t="s">
        <v>111</v>
      </c>
      <c r="M353" t="s">
        <v>112</v>
      </c>
      <c r="N353" t="s">
        <v>113</v>
      </c>
      <c r="O353" t="s">
        <v>24</v>
      </c>
      <c r="P353" t="s">
        <v>36</v>
      </c>
      <c r="Q353" t="s">
        <v>44</v>
      </c>
      <c r="R353" t="s">
        <v>27</v>
      </c>
      <c r="S353">
        <f>IF(enquiry_analysis_data[[#This Row],[enquiry_status]]="Converted",1,0)</f>
        <v>0</v>
      </c>
      <c r="T353" t="s">
        <v>28</v>
      </c>
    </row>
    <row r="354" spans="1:20" x14ac:dyDescent="0.3">
      <c r="A354">
        <v>87</v>
      </c>
      <c r="B354" s="1">
        <v>46121.475694444445</v>
      </c>
      <c r="C354" s="1" t="str">
        <f>TEXT(enquiry_analysis_data[[#This Row],[enquiry_date]],"mmmm-yyyy")</f>
        <v>April-2026</v>
      </c>
      <c r="D354">
        <f>YEAR(enquiry_analysis_data[[#This Row],[enquiry_date]])</f>
        <v>2026</v>
      </c>
      <c r="E354">
        <f>MONTH(enquiry_analysis_data[[#This Row],[enquiry_date]])</f>
        <v>4</v>
      </c>
      <c r="F354" t="s">
        <v>414</v>
      </c>
      <c r="G354" t="s">
        <v>706</v>
      </c>
      <c r="H354" s="2">
        <v>9000000084</v>
      </c>
      <c r="I354" t="s">
        <v>88</v>
      </c>
      <c r="J354" t="s">
        <v>19</v>
      </c>
      <c r="K354" t="s">
        <v>20</v>
      </c>
      <c r="L354" t="s">
        <v>72</v>
      </c>
      <c r="M354" t="s">
        <v>73</v>
      </c>
      <c r="N354" t="s">
        <v>74</v>
      </c>
      <c r="O354" t="s">
        <v>24</v>
      </c>
      <c r="P354" t="s">
        <v>36</v>
      </c>
      <c r="Q354" t="s">
        <v>141</v>
      </c>
      <c r="R354" t="s">
        <v>56</v>
      </c>
      <c r="S354">
        <f>IF(enquiry_analysis_data[[#This Row],[enquiry_status]]="Converted",1,0)</f>
        <v>0</v>
      </c>
      <c r="T354" t="s">
        <v>28</v>
      </c>
    </row>
    <row r="355" spans="1:20" x14ac:dyDescent="0.3">
      <c r="A355">
        <v>394</v>
      </c>
      <c r="B355" s="1">
        <v>46123.082395833335</v>
      </c>
      <c r="C355" s="1" t="str">
        <f>TEXT(enquiry_analysis_data[[#This Row],[enquiry_date]],"mmmm-yyyy")</f>
        <v>April-2026</v>
      </c>
      <c r="D355">
        <f>YEAR(enquiry_analysis_data[[#This Row],[enquiry_date]])</f>
        <v>2026</v>
      </c>
      <c r="E355">
        <f>MONTH(enquiry_analysis_data[[#This Row],[enquiry_date]])</f>
        <v>4</v>
      </c>
      <c r="F355" t="s">
        <v>707</v>
      </c>
      <c r="G355" t="s">
        <v>708</v>
      </c>
      <c r="H355" s="2">
        <v>9000000391</v>
      </c>
      <c r="I355" t="s">
        <v>18</v>
      </c>
      <c r="J355" t="s">
        <v>19</v>
      </c>
      <c r="K355" t="s">
        <v>67</v>
      </c>
      <c r="L355" t="s">
        <v>60</v>
      </c>
      <c r="M355" t="s">
        <v>61</v>
      </c>
      <c r="N355" t="s">
        <v>62</v>
      </c>
      <c r="O355" t="s">
        <v>24</v>
      </c>
      <c r="P355" t="s">
        <v>52</v>
      </c>
      <c r="Q355" t="s">
        <v>141</v>
      </c>
      <c r="R355" t="s">
        <v>45</v>
      </c>
      <c r="S355">
        <f>IF(enquiry_analysis_data[[#This Row],[enquiry_status]]="Converted",1,0)</f>
        <v>0</v>
      </c>
      <c r="T355" t="s">
        <v>28</v>
      </c>
    </row>
    <row r="356" spans="1:20" x14ac:dyDescent="0.3">
      <c r="A356">
        <v>492</v>
      </c>
      <c r="B356" s="1">
        <v>46124.488078703704</v>
      </c>
      <c r="C356" s="1" t="str">
        <f>TEXT(enquiry_analysis_data[[#This Row],[enquiry_date]],"mmmm-yyyy")</f>
        <v>April-2026</v>
      </c>
      <c r="D356">
        <f>YEAR(enquiry_analysis_data[[#This Row],[enquiry_date]])</f>
        <v>2026</v>
      </c>
      <c r="E356">
        <f>MONTH(enquiry_analysis_data[[#This Row],[enquiry_date]])</f>
        <v>4</v>
      </c>
      <c r="F356" t="s">
        <v>480</v>
      </c>
      <c r="G356" t="s">
        <v>709</v>
      </c>
      <c r="H356" s="2">
        <v>9000000489</v>
      </c>
      <c r="I356" t="s">
        <v>31</v>
      </c>
      <c r="J356" t="s">
        <v>128</v>
      </c>
      <c r="K356" t="s">
        <v>33</v>
      </c>
      <c r="L356" t="s">
        <v>72</v>
      </c>
      <c r="M356" t="s">
        <v>73</v>
      </c>
      <c r="N356" t="s">
        <v>74</v>
      </c>
      <c r="O356" t="s">
        <v>42</v>
      </c>
      <c r="P356" t="s">
        <v>36</v>
      </c>
      <c r="Q356" t="s">
        <v>53</v>
      </c>
      <c r="R356" t="s">
        <v>194</v>
      </c>
      <c r="S356">
        <f>IF(enquiry_analysis_data[[#This Row],[enquiry_status]]="Converted",1,0)</f>
        <v>0</v>
      </c>
      <c r="T356" t="s">
        <v>28</v>
      </c>
    </row>
    <row r="357" spans="1:20" x14ac:dyDescent="0.3">
      <c r="A357">
        <v>399</v>
      </c>
      <c r="B357" s="1">
        <v>46124.599409722221</v>
      </c>
      <c r="C357" s="1" t="str">
        <f>TEXT(enquiry_analysis_data[[#This Row],[enquiry_date]],"mmmm-yyyy")</f>
        <v>April-2026</v>
      </c>
      <c r="D357">
        <f>YEAR(enquiry_analysis_data[[#This Row],[enquiry_date]])</f>
        <v>2026</v>
      </c>
      <c r="E357">
        <f>MONTH(enquiry_analysis_data[[#This Row],[enquiry_date]])</f>
        <v>4</v>
      </c>
      <c r="F357" t="s">
        <v>217</v>
      </c>
      <c r="G357" t="s">
        <v>710</v>
      </c>
      <c r="H357" s="2">
        <v>9000000396</v>
      </c>
      <c r="I357" t="s">
        <v>71</v>
      </c>
      <c r="J357" t="s">
        <v>49</v>
      </c>
      <c r="K357" t="s">
        <v>20</v>
      </c>
      <c r="L357" t="s">
        <v>111</v>
      </c>
      <c r="M357" t="s">
        <v>112</v>
      </c>
      <c r="N357" t="s">
        <v>113</v>
      </c>
      <c r="O357" t="s">
        <v>42</v>
      </c>
      <c r="P357" t="s">
        <v>36</v>
      </c>
      <c r="Q357" t="s">
        <v>26</v>
      </c>
      <c r="R357" t="s">
        <v>68</v>
      </c>
      <c r="S357">
        <f>IF(enquiry_analysis_data[[#This Row],[enquiry_status]]="Converted",1,0)</f>
        <v>1</v>
      </c>
      <c r="T357" t="s">
        <v>28</v>
      </c>
    </row>
    <row r="358" spans="1:20" x14ac:dyDescent="0.3">
      <c r="A358">
        <v>124</v>
      </c>
      <c r="B358" s="1">
        <v>46126.4450462963</v>
      </c>
      <c r="C358" s="1" t="str">
        <f>TEXT(enquiry_analysis_data[[#This Row],[enquiry_date]],"mmmm-yyyy")</f>
        <v>April-2026</v>
      </c>
      <c r="D358">
        <f>YEAR(enquiry_analysis_data[[#This Row],[enquiry_date]])</f>
        <v>2026</v>
      </c>
      <c r="E358">
        <f>MONTH(enquiry_analysis_data[[#This Row],[enquiry_date]])</f>
        <v>4</v>
      </c>
      <c r="F358" t="s">
        <v>398</v>
      </c>
      <c r="G358" t="s">
        <v>711</v>
      </c>
      <c r="H358" s="2">
        <v>9000000121</v>
      </c>
      <c r="I358" t="s">
        <v>71</v>
      </c>
      <c r="J358" t="s">
        <v>49</v>
      </c>
      <c r="K358" t="s">
        <v>20</v>
      </c>
      <c r="L358" t="s">
        <v>245</v>
      </c>
      <c r="M358" t="s">
        <v>246</v>
      </c>
      <c r="N358" t="s">
        <v>156</v>
      </c>
      <c r="O358" t="s">
        <v>42</v>
      </c>
      <c r="P358" t="s">
        <v>25</v>
      </c>
      <c r="Q358" t="s">
        <v>26</v>
      </c>
      <c r="R358" t="s">
        <v>114</v>
      </c>
      <c r="S358">
        <f>IF(enquiry_analysis_data[[#This Row],[enquiry_status]]="Converted",1,0)</f>
        <v>0</v>
      </c>
      <c r="T358" t="s">
        <v>28</v>
      </c>
    </row>
    <row r="359" spans="1:20" x14ac:dyDescent="0.3">
      <c r="A359">
        <v>384</v>
      </c>
      <c r="B359" s="1">
        <v>46127.679537037038</v>
      </c>
      <c r="C359" s="1" t="str">
        <f>TEXT(enquiry_analysis_data[[#This Row],[enquiry_date]],"mmmm-yyyy")</f>
        <v>April-2026</v>
      </c>
      <c r="D359">
        <f>YEAR(enquiry_analysis_data[[#This Row],[enquiry_date]])</f>
        <v>2026</v>
      </c>
      <c r="E359">
        <f>MONTH(enquiry_analysis_data[[#This Row],[enquiry_date]])</f>
        <v>4</v>
      </c>
      <c r="F359" t="s">
        <v>712</v>
      </c>
      <c r="G359" t="s">
        <v>713</v>
      </c>
      <c r="H359" s="2">
        <v>9000000381</v>
      </c>
      <c r="I359" t="s">
        <v>31</v>
      </c>
      <c r="J359" t="s">
        <v>19</v>
      </c>
      <c r="K359" t="s">
        <v>67</v>
      </c>
      <c r="L359" t="s">
        <v>111</v>
      </c>
      <c r="M359" t="s">
        <v>112</v>
      </c>
      <c r="N359" t="s">
        <v>113</v>
      </c>
      <c r="O359" t="s">
        <v>24</v>
      </c>
      <c r="P359" t="s">
        <v>43</v>
      </c>
      <c r="Q359" t="s">
        <v>53</v>
      </c>
      <c r="R359" t="s">
        <v>45</v>
      </c>
      <c r="S359">
        <f>IF(enquiry_analysis_data[[#This Row],[enquiry_status]]="Converted",1,0)</f>
        <v>0</v>
      </c>
      <c r="T359" t="s">
        <v>28</v>
      </c>
    </row>
    <row r="360" spans="1:20" x14ac:dyDescent="0.3">
      <c r="A360">
        <v>127</v>
      </c>
      <c r="B360" s="1">
        <v>46128.366041666668</v>
      </c>
      <c r="C360" s="1" t="str">
        <f>TEXT(enquiry_analysis_data[[#This Row],[enquiry_date]],"mmmm-yyyy")</f>
        <v>April-2026</v>
      </c>
      <c r="D360">
        <f>YEAR(enquiry_analysis_data[[#This Row],[enquiry_date]])</f>
        <v>2026</v>
      </c>
      <c r="E360">
        <f>MONTH(enquiry_analysis_data[[#This Row],[enquiry_date]])</f>
        <v>4</v>
      </c>
      <c r="F360" t="s">
        <v>590</v>
      </c>
      <c r="G360" t="s">
        <v>714</v>
      </c>
      <c r="H360" s="2">
        <v>9000000124</v>
      </c>
      <c r="I360" t="s">
        <v>93</v>
      </c>
      <c r="J360" t="s">
        <v>32</v>
      </c>
      <c r="K360" t="s">
        <v>94</v>
      </c>
      <c r="L360" t="s">
        <v>21</v>
      </c>
      <c r="M360" t="s">
        <v>22</v>
      </c>
      <c r="N360" t="s">
        <v>23</v>
      </c>
      <c r="O360" t="s">
        <v>42</v>
      </c>
      <c r="P360" t="s">
        <v>25</v>
      </c>
      <c r="Q360" t="s">
        <v>26</v>
      </c>
      <c r="R360" t="s">
        <v>56</v>
      </c>
      <c r="S360">
        <f>IF(enquiry_analysis_data[[#This Row],[enquiry_status]]="Converted",1,0)</f>
        <v>0</v>
      </c>
      <c r="T360" t="s">
        <v>28</v>
      </c>
    </row>
    <row r="361" spans="1:20" x14ac:dyDescent="0.3">
      <c r="A361">
        <v>137</v>
      </c>
      <c r="B361" s="1">
        <v>46128.400277777779</v>
      </c>
      <c r="C361" s="1" t="str">
        <f>TEXT(enquiry_analysis_data[[#This Row],[enquiry_date]],"mmmm-yyyy")</f>
        <v>April-2026</v>
      </c>
      <c r="D361">
        <f>YEAR(enquiry_analysis_data[[#This Row],[enquiry_date]])</f>
        <v>2026</v>
      </c>
      <c r="E361">
        <f>MONTH(enquiry_analysis_data[[#This Row],[enquiry_date]])</f>
        <v>4</v>
      </c>
      <c r="F361" t="s">
        <v>171</v>
      </c>
      <c r="G361" t="s">
        <v>715</v>
      </c>
      <c r="H361" s="2">
        <v>9000000134</v>
      </c>
      <c r="I361" t="s">
        <v>77</v>
      </c>
      <c r="J361" t="s">
        <v>32</v>
      </c>
      <c r="K361" t="s">
        <v>33</v>
      </c>
      <c r="L361" t="s">
        <v>117</v>
      </c>
      <c r="M361" t="s">
        <v>118</v>
      </c>
      <c r="N361" t="s">
        <v>119</v>
      </c>
      <c r="O361" t="s">
        <v>42</v>
      </c>
      <c r="P361" t="s">
        <v>52</v>
      </c>
      <c r="Q361" t="s">
        <v>53</v>
      </c>
      <c r="R361" t="s">
        <v>194</v>
      </c>
      <c r="S361">
        <f>IF(enquiry_analysis_data[[#This Row],[enquiry_status]]="Converted",1,0)</f>
        <v>0</v>
      </c>
      <c r="T361" t="s">
        <v>28</v>
      </c>
    </row>
    <row r="362" spans="1:20" x14ac:dyDescent="0.3">
      <c r="A362">
        <v>242</v>
      </c>
      <c r="B362" s="1">
        <v>46132.423958333333</v>
      </c>
      <c r="C362" s="1" t="str">
        <f>TEXT(enquiry_analysis_data[[#This Row],[enquiry_date]],"mmmm-yyyy")</f>
        <v>April-2026</v>
      </c>
      <c r="D362">
        <f>YEAR(enquiry_analysis_data[[#This Row],[enquiry_date]])</f>
        <v>2026</v>
      </c>
      <c r="E362">
        <f>MONTH(enquiry_analysis_data[[#This Row],[enquiry_date]])</f>
        <v>4</v>
      </c>
      <c r="F362" t="s">
        <v>716</v>
      </c>
      <c r="G362" t="s">
        <v>717</v>
      </c>
      <c r="H362" s="2">
        <v>9000000239</v>
      </c>
      <c r="I362" t="s">
        <v>93</v>
      </c>
      <c r="J362" t="s">
        <v>19</v>
      </c>
      <c r="K362" t="s">
        <v>33</v>
      </c>
      <c r="L362" t="s">
        <v>21</v>
      </c>
      <c r="M362" t="s">
        <v>22</v>
      </c>
      <c r="N362" t="s">
        <v>23</v>
      </c>
      <c r="O362" t="s">
        <v>24</v>
      </c>
      <c r="P362" t="s">
        <v>36</v>
      </c>
      <c r="Q362" t="s">
        <v>63</v>
      </c>
      <c r="R362" t="s">
        <v>45</v>
      </c>
      <c r="S362">
        <f>IF(enquiry_analysis_data[[#This Row],[enquiry_status]]="Converted",1,0)</f>
        <v>0</v>
      </c>
      <c r="T362" t="s">
        <v>28</v>
      </c>
    </row>
    <row r="363" spans="1:20" x14ac:dyDescent="0.3">
      <c r="A363">
        <v>146</v>
      </c>
      <c r="B363" s="1">
        <v>46132.986238425925</v>
      </c>
      <c r="C363" s="1" t="str">
        <f>TEXT(enquiry_analysis_data[[#This Row],[enquiry_date]],"mmmm-yyyy")</f>
        <v>April-2026</v>
      </c>
      <c r="D363">
        <f>YEAR(enquiry_analysis_data[[#This Row],[enquiry_date]])</f>
        <v>2026</v>
      </c>
      <c r="E363">
        <f>MONTH(enquiry_analysis_data[[#This Row],[enquiry_date]])</f>
        <v>4</v>
      </c>
      <c r="F363" t="s">
        <v>718</v>
      </c>
      <c r="G363" t="s">
        <v>719</v>
      </c>
      <c r="H363" s="2">
        <v>9000000143</v>
      </c>
      <c r="I363" t="s">
        <v>88</v>
      </c>
      <c r="J363" t="s">
        <v>128</v>
      </c>
      <c r="K363" t="s">
        <v>94</v>
      </c>
      <c r="L363" t="s">
        <v>99</v>
      </c>
      <c r="M363" t="s">
        <v>100</v>
      </c>
      <c r="N363" t="s">
        <v>101</v>
      </c>
      <c r="O363" t="s">
        <v>42</v>
      </c>
      <c r="P363" t="s">
        <v>43</v>
      </c>
      <c r="Q363" t="s">
        <v>26</v>
      </c>
      <c r="R363" t="s">
        <v>27</v>
      </c>
      <c r="S363">
        <f>IF(enquiry_analysis_data[[#This Row],[enquiry_status]]="Converted",1,0)</f>
        <v>0</v>
      </c>
      <c r="T363" t="s">
        <v>28</v>
      </c>
    </row>
    <row r="364" spans="1:20" x14ac:dyDescent="0.3">
      <c r="A364">
        <v>451</v>
      </c>
      <c r="B364" s="1">
        <v>46137.561273148145</v>
      </c>
      <c r="C364" s="1" t="str">
        <f>TEXT(enquiry_analysis_data[[#This Row],[enquiry_date]],"mmmm-yyyy")</f>
        <v>April-2026</v>
      </c>
      <c r="D364">
        <f>YEAR(enquiry_analysis_data[[#This Row],[enquiry_date]])</f>
        <v>2026</v>
      </c>
      <c r="E364">
        <f>MONTH(enquiry_analysis_data[[#This Row],[enquiry_date]])</f>
        <v>4</v>
      </c>
      <c r="F364" t="s">
        <v>627</v>
      </c>
      <c r="G364" t="s">
        <v>720</v>
      </c>
      <c r="H364" s="2">
        <v>9000000448</v>
      </c>
      <c r="I364" t="s">
        <v>48</v>
      </c>
      <c r="J364" t="s">
        <v>19</v>
      </c>
      <c r="K364" t="s">
        <v>67</v>
      </c>
      <c r="L364" t="s">
        <v>106</v>
      </c>
      <c r="M364" t="s">
        <v>107</v>
      </c>
      <c r="N364" t="s">
        <v>108</v>
      </c>
      <c r="O364" t="s">
        <v>24</v>
      </c>
      <c r="P364" t="s">
        <v>25</v>
      </c>
      <c r="Q364" t="s">
        <v>53</v>
      </c>
      <c r="R364" t="s">
        <v>45</v>
      </c>
      <c r="S364">
        <f>IF(enquiry_analysis_data[[#This Row],[enquiry_status]]="Converted",1,0)</f>
        <v>0</v>
      </c>
      <c r="T364" t="s">
        <v>28</v>
      </c>
    </row>
    <row r="365" spans="1:20" x14ac:dyDescent="0.3">
      <c r="A365">
        <v>410</v>
      </c>
      <c r="B365" s="1">
        <v>46138.853414351855</v>
      </c>
      <c r="C365" s="1" t="str">
        <f>TEXT(enquiry_analysis_data[[#This Row],[enquiry_date]],"mmmm-yyyy")</f>
        <v>April-2026</v>
      </c>
      <c r="D365">
        <f>YEAR(enquiry_analysis_data[[#This Row],[enquiry_date]])</f>
        <v>2026</v>
      </c>
      <c r="E365">
        <f>MONTH(enquiry_analysis_data[[#This Row],[enquiry_date]])</f>
        <v>4</v>
      </c>
      <c r="F365" t="s">
        <v>721</v>
      </c>
      <c r="G365" t="s">
        <v>722</v>
      </c>
      <c r="H365" s="2">
        <v>9000000407</v>
      </c>
      <c r="I365" t="s">
        <v>77</v>
      </c>
      <c r="J365" t="s">
        <v>19</v>
      </c>
      <c r="K365" t="s">
        <v>67</v>
      </c>
      <c r="L365" t="s">
        <v>106</v>
      </c>
      <c r="M365" t="s">
        <v>107</v>
      </c>
      <c r="N365" t="s">
        <v>108</v>
      </c>
      <c r="O365" t="s">
        <v>24</v>
      </c>
      <c r="P365" t="s">
        <v>52</v>
      </c>
      <c r="Q365" t="s">
        <v>63</v>
      </c>
      <c r="R365" t="s">
        <v>27</v>
      </c>
      <c r="S365">
        <f>IF(enquiry_analysis_data[[#This Row],[enquiry_status]]="Converted",1,0)</f>
        <v>0</v>
      </c>
      <c r="T365" t="s">
        <v>28</v>
      </c>
    </row>
    <row r="366" spans="1:20" x14ac:dyDescent="0.3">
      <c r="A366">
        <v>442</v>
      </c>
      <c r="B366" s="1">
        <v>46138.890659722223</v>
      </c>
      <c r="C366" s="1" t="str">
        <f>TEXT(enquiry_analysis_data[[#This Row],[enquiry_date]],"mmmm-yyyy")</f>
        <v>April-2026</v>
      </c>
      <c r="D366">
        <f>YEAR(enquiry_analysis_data[[#This Row],[enquiry_date]])</f>
        <v>2026</v>
      </c>
      <c r="E366">
        <f>MONTH(enquiry_analysis_data[[#This Row],[enquiry_date]])</f>
        <v>4</v>
      </c>
      <c r="F366" t="s">
        <v>723</v>
      </c>
      <c r="G366" t="s">
        <v>724</v>
      </c>
      <c r="H366" s="2">
        <v>9000000439</v>
      </c>
      <c r="I366" t="s">
        <v>77</v>
      </c>
      <c r="J366" t="s">
        <v>32</v>
      </c>
      <c r="K366" t="s">
        <v>33</v>
      </c>
      <c r="L366" t="s">
        <v>99</v>
      </c>
      <c r="M366" t="s">
        <v>100</v>
      </c>
      <c r="N366" t="s">
        <v>101</v>
      </c>
      <c r="O366" t="s">
        <v>42</v>
      </c>
      <c r="P366" t="s">
        <v>52</v>
      </c>
      <c r="Q366" t="s">
        <v>26</v>
      </c>
      <c r="R366" t="s">
        <v>68</v>
      </c>
      <c r="S366">
        <f>IF(enquiry_analysis_data[[#This Row],[enquiry_status]]="Converted",1,0)</f>
        <v>1</v>
      </c>
      <c r="T366" t="s">
        <v>28</v>
      </c>
    </row>
    <row r="367" spans="1:20" x14ac:dyDescent="0.3">
      <c r="A367">
        <v>341</v>
      </c>
      <c r="B367" s="1">
        <v>46139.217893518522</v>
      </c>
      <c r="C367" s="1" t="str">
        <f>TEXT(enquiry_analysis_data[[#This Row],[enquiry_date]],"mmmm-yyyy")</f>
        <v>April-2026</v>
      </c>
      <c r="D367">
        <f>YEAR(enquiry_analysis_data[[#This Row],[enquiry_date]])</f>
        <v>2026</v>
      </c>
      <c r="E367">
        <f>MONTH(enquiry_analysis_data[[#This Row],[enquiry_date]])</f>
        <v>4</v>
      </c>
      <c r="F367" t="s">
        <v>725</v>
      </c>
      <c r="G367" t="s">
        <v>726</v>
      </c>
      <c r="H367" s="2">
        <v>9000000338</v>
      </c>
      <c r="I367" t="s">
        <v>48</v>
      </c>
      <c r="J367" t="s">
        <v>19</v>
      </c>
      <c r="K367" t="s">
        <v>20</v>
      </c>
      <c r="L367" t="s">
        <v>72</v>
      </c>
      <c r="M367" t="s">
        <v>73</v>
      </c>
      <c r="N367" t="s">
        <v>74</v>
      </c>
      <c r="O367" t="s">
        <v>24</v>
      </c>
      <c r="P367" t="s">
        <v>43</v>
      </c>
      <c r="Q367" t="s">
        <v>37</v>
      </c>
      <c r="R367" t="s">
        <v>56</v>
      </c>
      <c r="S367">
        <f>IF(enquiry_analysis_data[[#This Row],[enquiry_status]]="Converted",1,0)</f>
        <v>0</v>
      </c>
      <c r="T367" t="s">
        <v>28</v>
      </c>
    </row>
    <row r="368" spans="1:20" x14ac:dyDescent="0.3">
      <c r="A368">
        <v>68</v>
      </c>
      <c r="B368" s="1">
        <v>46139.591273148151</v>
      </c>
      <c r="C368" s="1" t="str">
        <f>TEXT(enquiry_analysis_data[[#This Row],[enquiry_date]],"mmmm-yyyy")</f>
        <v>April-2026</v>
      </c>
      <c r="D368">
        <f>YEAR(enquiry_analysis_data[[#This Row],[enquiry_date]])</f>
        <v>2026</v>
      </c>
      <c r="E368">
        <f>MONTH(enquiry_analysis_data[[#This Row],[enquiry_date]])</f>
        <v>4</v>
      </c>
      <c r="F368" t="s">
        <v>727</v>
      </c>
      <c r="G368" t="s">
        <v>728</v>
      </c>
      <c r="H368" s="2">
        <v>9000000065</v>
      </c>
      <c r="I368" t="s">
        <v>18</v>
      </c>
      <c r="J368" t="s">
        <v>49</v>
      </c>
      <c r="K368" t="s">
        <v>20</v>
      </c>
      <c r="L368" t="s">
        <v>21</v>
      </c>
      <c r="M368" t="s">
        <v>22</v>
      </c>
      <c r="N368" t="s">
        <v>23</v>
      </c>
      <c r="O368" t="s">
        <v>24</v>
      </c>
      <c r="P368" t="s">
        <v>52</v>
      </c>
      <c r="Q368" t="s">
        <v>138</v>
      </c>
      <c r="R368" t="s">
        <v>114</v>
      </c>
      <c r="S368">
        <f>IF(enquiry_analysis_data[[#This Row],[enquiry_status]]="Converted",1,0)</f>
        <v>0</v>
      </c>
      <c r="T368" t="s">
        <v>28</v>
      </c>
    </row>
    <row r="369" spans="1:20" x14ac:dyDescent="0.3">
      <c r="A369">
        <v>362</v>
      </c>
      <c r="B369" s="1">
        <v>46140.822245370371</v>
      </c>
      <c r="C369" s="1" t="str">
        <f>TEXT(enquiry_analysis_data[[#This Row],[enquiry_date]],"mmmm-yyyy")</f>
        <v>April-2026</v>
      </c>
      <c r="D369">
        <f>YEAR(enquiry_analysis_data[[#This Row],[enquiry_date]])</f>
        <v>2026</v>
      </c>
      <c r="E369">
        <f>MONTH(enquiry_analysis_data[[#This Row],[enquiry_date]])</f>
        <v>4</v>
      </c>
      <c r="F369" t="s">
        <v>729</v>
      </c>
      <c r="G369" t="s">
        <v>730</v>
      </c>
      <c r="H369" s="2">
        <v>9000000359</v>
      </c>
      <c r="I369" t="s">
        <v>66</v>
      </c>
      <c r="J369" t="s">
        <v>32</v>
      </c>
      <c r="K369" t="s">
        <v>33</v>
      </c>
      <c r="L369" t="s">
        <v>111</v>
      </c>
      <c r="M369" t="s">
        <v>112</v>
      </c>
      <c r="N369" t="s">
        <v>113</v>
      </c>
      <c r="O369" t="s">
        <v>42</v>
      </c>
      <c r="P369" t="s">
        <v>43</v>
      </c>
      <c r="Q369" t="s">
        <v>63</v>
      </c>
      <c r="R369" t="s">
        <v>56</v>
      </c>
      <c r="S369">
        <f>IF(enquiry_analysis_data[[#This Row],[enquiry_status]]="Converted",1,0)</f>
        <v>0</v>
      </c>
      <c r="T369" t="s">
        <v>28</v>
      </c>
    </row>
    <row r="370" spans="1:20" x14ac:dyDescent="0.3">
      <c r="A370">
        <v>22</v>
      </c>
      <c r="B370" s="1">
        <v>46140.980671296296</v>
      </c>
      <c r="C370" s="1" t="str">
        <f>TEXT(enquiry_analysis_data[[#This Row],[enquiry_date]],"mmmm-yyyy")</f>
        <v>April-2026</v>
      </c>
      <c r="D370">
        <f>YEAR(enquiry_analysis_data[[#This Row],[enquiry_date]])</f>
        <v>2026</v>
      </c>
      <c r="E370">
        <f>MONTH(enquiry_analysis_data[[#This Row],[enquiry_date]])</f>
        <v>4</v>
      </c>
      <c r="F370" t="s">
        <v>563</v>
      </c>
      <c r="G370" t="s">
        <v>731</v>
      </c>
      <c r="H370" s="2">
        <v>9000000019</v>
      </c>
      <c r="I370" t="s">
        <v>93</v>
      </c>
      <c r="J370" t="s">
        <v>49</v>
      </c>
      <c r="K370" t="s">
        <v>20</v>
      </c>
      <c r="L370" t="s">
        <v>21</v>
      </c>
      <c r="M370" t="s">
        <v>22</v>
      </c>
      <c r="N370" t="s">
        <v>23</v>
      </c>
      <c r="O370" t="s">
        <v>42</v>
      </c>
      <c r="P370" t="s">
        <v>52</v>
      </c>
      <c r="Q370" t="s">
        <v>44</v>
      </c>
      <c r="R370" t="s">
        <v>56</v>
      </c>
      <c r="S370">
        <f>IF(enquiry_analysis_data[[#This Row],[enquiry_status]]="Converted",1,0)</f>
        <v>0</v>
      </c>
      <c r="T370" t="s">
        <v>28</v>
      </c>
    </row>
    <row r="371" spans="1:20" x14ac:dyDescent="0.3">
      <c r="A371">
        <v>115</v>
      </c>
      <c r="B371" s="1">
        <v>46142.126261574071</v>
      </c>
      <c r="C371" s="1" t="str">
        <f>TEXT(enquiry_analysis_data[[#This Row],[enquiry_date]],"mmmm-yyyy")</f>
        <v>April-2026</v>
      </c>
      <c r="D371">
        <f>YEAR(enquiry_analysis_data[[#This Row],[enquiry_date]])</f>
        <v>2026</v>
      </c>
      <c r="E371">
        <f>MONTH(enquiry_analysis_data[[#This Row],[enquiry_date]])</f>
        <v>4</v>
      </c>
      <c r="F371" t="s">
        <v>478</v>
      </c>
      <c r="G371" t="s">
        <v>732</v>
      </c>
      <c r="H371" s="2">
        <v>9000000112</v>
      </c>
      <c r="I371" t="s">
        <v>123</v>
      </c>
      <c r="J371" t="s">
        <v>49</v>
      </c>
      <c r="K371" t="s">
        <v>33</v>
      </c>
      <c r="L371" t="s">
        <v>144</v>
      </c>
      <c r="M371" t="s">
        <v>145</v>
      </c>
      <c r="N371" t="s">
        <v>101</v>
      </c>
      <c r="O371" t="s">
        <v>42</v>
      </c>
      <c r="P371" t="s">
        <v>52</v>
      </c>
      <c r="Q371" t="s">
        <v>138</v>
      </c>
      <c r="R371" t="s">
        <v>68</v>
      </c>
      <c r="S371">
        <f>IF(enquiry_analysis_data[[#This Row],[enquiry_status]]="Converted",1,0)</f>
        <v>1</v>
      </c>
      <c r="T371" t="s">
        <v>28</v>
      </c>
    </row>
    <row r="372" spans="1:20" x14ac:dyDescent="0.3">
      <c r="A372">
        <v>310</v>
      </c>
      <c r="B372" s="1">
        <v>46142.744166666664</v>
      </c>
      <c r="C372" s="1" t="str">
        <f>TEXT(enquiry_analysis_data[[#This Row],[enquiry_date]],"mmmm-yyyy")</f>
        <v>April-2026</v>
      </c>
      <c r="D372">
        <f>YEAR(enquiry_analysis_data[[#This Row],[enquiry_date]])</f>
        <v>2026</v>
      </c>
      <c r="E372">
        <f>MONTH(enquiry_analysis_data[[#This Row],[enquiry_date]])</f>
        <v>4</v>
      </c>
      <c r="F372" t="s">
        <v>733</v>
      </c>
      <c r="G372" t="s">
        <v>734</v>
      </c>
      <c r="H372" s="2">
        <v>9000000307</v>
      </c>
      <c r="I372" t="s">
        <v>71</v>
      </c>
      <c r="J372" t="s">
        <v>19</v>
      </c>
      <c r="K372" t="s">
        <v>33</v>
      </c>
      <c r="L372" t="s">
        <v>106</v>
      </c>
      <c r="M372" t="s">
        <v>107</v>
      </c>
      <c r="N372" t="s">
        <v>108</v>
      </c>
      <c r="O372" t="s">
        <v>24</v>
      </c>
      <c r="P372" t="s">
        <v>25</v>
      </c>
      <c r="Q372" t="s">
        <v>44</v>
      </c>
      <c r="R372" t="s">
        <v>45</v>
      </c>
      <c r="S372">
        <f>IF(enquiry_analysis_data[[#This Row],[enquiry_status]]="Converted",1,0)</f>
        <v>0</v>
      </c>
      <c r="T372" t="s">
        <v>28</v>
      </c>
    </row>
    <row r="373" spans="1:20" x14ac:dyDescent="0.3">
      <c r="A373">
        <v>206</v>
      </c>
      <c r="B373" s="1">
        <v>46143.853009259263</v>
      </c>
      <c r="C373" s="1" t="str">
        <f>TEXT(enquiry_analysis_data[[#This Row],[enquiry_date]],"mmmm-yyyy")</f>
        <v>May-2026</v>
      </c>
      <c r="D373">
        <f>YEAR(enquiry_analysis_data[[#This Row],[enquiry_date]])</f>
        <v>2026</v>
      </c>
      <c r="E373">
        <f>MONTH(enquiry_analysis_data[[#This Row],[enquiry_date]])</f>
        <v>5</v>
      </c>
      <c r="F373" t="s">
        <v>735</v>
      </c>
      <c r="G373" t="s">
        <v>736</v>
      </c>
      <c r="H373" s="2">
        <v>9000000203</v>
      </c>
      <c r="I373" t="s">
        <v>123</v>
      </c>
      <c r="J373" t="s">
        <v>19</v>
      </c>
      <c r="K373" t="s">
        <v>94</v>
      </c>
      <c r="L373" t="s">
        <v>117</v>
      </c>
      <c r="M373" t="s">
        <v>118</v>
      </c>
      <c r="N373" t="s">
        <v>119</v>
      </c>
      <c r="O373" t="s">
        <v>42</v>
      </c>
      <c r="P373" t="s">
        <v>43</v>
      </c>
      <c r="Q373" t="s">
        <v>53</v>
      </c>
      <c r="R373" t="s">
        <v>68</v>
      </c>
      <c r="S373">
        <f>IF(enquiry_analysis_data[[#This Row],[enquiry_status]]="Converted",1,0)</f>
        <v>1</v>
      </c>
      <c r="T373" t="s">
        <v>28</v>
      </c>
    </row>
    <row r="374" spans="1:20" x14ac:dyDescent="0.3">
      <c r="A374">
        <v>377</v>
      </c>
      <c r="B374" s="1">
        <v>46145.084270833337</v>
      </c>
      <c r="C374" s="1" t="str">
        <f>TEXT(enquiry_analysis_data[[#This Row],[enquiry_date]],"mmmm-yyyy")</f>
        <v>May-2026</v>
      </c>
      <c r="D374">
        <f>YEAR(enquiry_analysis_data[[#This Row],[enquiry_date]])</f>
        <v>2026</v>
      </c>
      <c r="E374">
        <f>MONTH(enquiry_analysis_data[[#This Row],[enquiry_date]])</f>
        <v>5</v>
      </c>
      <c r="F374" t="s">
        <v>737</v>
      </c>
      <c r="G374" t="s">
        <v>738</v>
      </c>
      <c r="H374" s="2">
        <v>9000000374</v>
      </c>
      <c r="I374" t="s">
        <v>88</v>
      </c>
      <c r="J374" t="s">
        <v>19</v>
      </c>
      <c r="K374" t="s">
        <v>20</v>
      </c>
      <c r="L374" t="s">
        <v>111</v>
      </c>
      <c r="M374" t="s">
        <v>112</v>
      </c>
      <c r="N374" t="s">
        <v>113</v>
      </c>
      <c r="O374" t="s">
        <v>24</v>
      </c>
      <c r="P374" t="s">
        <v>52</v>
      </c>
      <c r="Q374" t="s">
        <v>63</v>
      </c>
      <c r="R374" t="s">
        <v>68</v>
      </c>
      <c r="S374">
        <f>IF(enquiry_analysis_data[[#This Row],[enquiry_status]]="Converted",1,0)</f>
        <v>1</v>
      </c>
      <c r="T374" t="s">
        <v>28</v>
      </c>
    </row>
    <row r="375" spans="1:20" x14ac:dyDescent="0.3">
      <c r="A375">
        <v>14</v>
      </c>
      <c r="B375" s="1">
        <v>46145.184895833336</v>
      </c>
      <c r="C375" s="1" t="str">
        <f>TEXT(enquiry_analysis_data[[#This Row],[enquiry_date]],"mmmm-yyyy")</f>
        <v>May-2026</v>
      </c>
      <c r="D375">
        <f>YEAR(enquiry_analysis_data[[#This Row],[enquiry_date]])</f>
        <v>2026</v>
      </c>
      <c r="E375">
        <f>MONTH(enquiry_analysis_data[[#This Row],[enquiry_date]])</f>
        <v>5</v>
      </c>
      <c r="F375" t="s">
        <v>169</v>
      </c>
      <c r="G375" t="s">
        <v>739</v>
      </c>
      <c r="H375" s="2">
        <v>9000000011</v>
      </c>
      <c r="I375" t="s">
        <v>66</v>
      </c>
      <c r="J375" t="s">
        <v>19</v>
      </c>
      <c r="K375" t="s">
        <v>67</v>
      </c>
      <c r="L375" t="s">
        <v>245</v>
      </c>
      <c r="M375" t="s">
        <v>246</v>
      </c>
      <c r="N375" t="s">
        <v>156</v>
      </c>
      <c r="O375" t="s">
        <v>24</v>
      </c>
      <c r="P375" t="s">
        <v>25</v>
      </c>
      <c r="Q375" t="s">
        <v>53</v>
      </c>
      <c r="R375" t="s">
        <v>68</v>
      </c>
      <c r="S375">
        <f>IF(enquiry_analysis_data[[#This Row],[enquiry_status]]="Converted",1,0)</f>
        <v>1</v>
      </c>
      <c r="T375" t="s">
        <v>28</v>
      </c>
    </row>
    <row r="376" spans="1:20" x14ac:dyDescent="0.3">
      <c r="A376">
        <v>248</v>
      </c>
      <c r="B376" s="1">
        <v>46146.600289351853</v>
      </c>
      <c r="C376" s="1" t="str">
        <f>TEXT(enquiry_analysis_data[[#This Row],[enquiry_date]],"mmmm-yyyy")</f>
        <v>May-2026</v>
      </c>
      <c r="D376">
        <f>YEAR(enquiry_analysis_data[[#This Row],[enquiry_date]])</f>
        <v>2026</v>
      </c>
      <c r="E376">
        <f>MONTH(enquiry_analysis_data[[#This Row],[enquiry_date]])</f>
        <v>5</v>
      </c>
      <c r="F376" t="s">
        <v>474</v>
      </c>
      <c r="G376" t="s">
        <v>740</v>
      </c>
      <c r="H376" s="2">
        <v>9000000245</v>
      </c>
      <c r="I376" t="s">
        <v>18</v>
      </c>
      <c r="J376" t="s">
        <v>32</v>
      </c>
      <c r="K376" t="s">
        <v>33</v>
      </c>
      <c r="L376" t="s">
        <v>60</v>
      </c>
      <c r="M376" t="s">
        <v>61</v>
      </c>
      <c r="N376" t="s">
        <v>62</v>
      </c>
      <c r="O376" t="s">
        <v>42</v>
      </c>
      <c r="P376" t="s">
        <v>43</v>
      </c>
      <c r="Q376" t="s">
        <v>53</v>
      </c>
      <c r="R376" t="s">
        <v>56</v>
      </c>
      <c r="S376">
        <f>IF(enquiry_analysis_data[[#This Row],[enquiry_status]]="Converted",1,0)</f>
        <v>0</v>
      </c>
      <c r="T376" t="s">
        <v>28</v>
      </c>
    </row>
    <row r="377" spans="1:20" x14ac:dyDescent="0.3">
      <c r="A377">
        <v>419</v>
      </c>
      <c r="B377" s="1">
        <v>46147.603437500002</v>
      </c>
      <c r="C377" s="1" t="str">
        <f>TEXT(enquiry_analysis_data[[#This Row],[enquiry_date]],"mmmm-yyyy")</f>
        <v>May-2026</v>
      </c>
      <c r="D377">
        <f>YEAR(enquiry_analysis_data[[#This Row],[enquiry_date]])</f>
        <v>2026</v>
      </c>
      <c r="E377">
        <f>MONTH(enquiry_analysis_data[[#This Row],[enquiry_date]])</f>
        <v>5</v>
      </c>
      <c r="F377" t="s">
        <v>478</v>
      </c>
      <c r="G377" t="s">
        <v>741</v>
      </c>
      <c r="H377" s="2">
        <v>9000000416</v>
      </c>
      <c r="I377" t="s">
        <v>88</v>
      </c>
      <c r="J377" t="s">
        <v>19</v>
      </c>
      <c r="K377" t="s">
        <v>67</v>
      </c>
      <c r="L377" t="s">
        <v>245</v>
      </c>
      <c r="M377" t="s">
        <v>246</v>
      </c>
      <c r="N377" t="s">
        <v>156</v>
      </c>
      <c r="O377" t="s">
        <v>42</v>
      </c>
      <c r="P377" t="s">
        <v>25</v>
      </c>
      <c r="Q377" t="s">
        <v>26</v>
      </c>
      <c r="R377" t="s">
        <v>114</v>
      </c>
      <c r="S377">
        <f>IF(enquiry_analysis_data[[#This Row],[enquiry_status]]="Converted",1,0)</f>
        <v>0</v>
      </c>
      <c r="T377" t="s">
        <v>28</v>
      </c>
    </row>
    <row r="378" spans="1:20" x14ac:dyDescent="0.3">
      <c r="A378">
        <v>488</v>
      </c>
      <c r="B378" s="1">
        <v>46150.873599537037</v>
      </c>
      <c r="C378" s="1" t="str">
        <f>TEXT(enquiry_analysis_data[[#This Row],[enquiry_date]],"mmmm-yyyy")</f>
        <v>May-2026</v>
      </c>
      <c r="D378">
        <f>YEAR(enquiry_analysis_data[[#This Row],[enquiry_date]])</f>
        <v>2026</v>
      </c>
      <c r="E378">
        <f>MONTH(enquiry_analysis_data[[#This Row],[enquiry_date]])</f>
        <v>5</v>
      </c>
      <c r="F378" t="s">
        <v>742</v>
      </c>
      <c r="G378" t="s">
        <v>743</v>
      </c>
      <c r="H378" s="2">
        <v>9000000485</v>
      </c>
      <c r="I378" t="s">
        <v>77</v>
      </c>
      <c r="J378" t="s">
        <v>49</v>
      </c>
      <c r="K378" t="s">
        <v>20</v>
      </c>
      <c r="L378" t="s">
        <v>245</v>
      </c>
      <c r="M378" t="s">
        <v>246</v>
      </c>
      <c r="N378" t="s">
        <v>156</v>
      </c>
      <c r="O378" t="s">
        <v>42</v>
      </c>
      <c r="P378" t="s">
        <v>36</v>
      </c>
      <c r="Q378" t="s">
        <v>26</v>
      </c>
      <c r="R378" t="s">
        <v>68</v>
      </c>
      <c r="S378">
        <f>IF(enquiry_analysis_data[[#This Row],[enquiry_status]]="Converted",1,0)</f>
        <v>1</v>
      </c>
      <c r="T378" t="s">
        <v>28</v>
      </c>
    </row>
    <row r="379" spans="1:20" x14ac:dyDescent="0.3">
      <c r="A379">
        <v>136</v>
      </c>
      <c r="B379" s="1">
        <v>46151.638414351852</v>
      </c>
      <c r="C379" s="1" t="str">
        <f>TEXT(enquiry_analysis_data[[#This Row],[enquiry_date]],"mmmm-yyyy")</f>
        <v>May-2026</v>
      </c>
      <c r="D379">
        <f>YEAR(enquiry_analysis_data[[#This Row],[enquiry_date]])</f>
        <v>2026</v>
      </c>
      <c r="E379">
        <f>MONTH(enquiry_analysis_data[[#This Row],[enquiry_date]])</f>
        <v>5</v>
      </c>
      <c r="F379" t="s">
        <v>572</v>
      </c>
      <c r="G379" t="s">
        <v>744</v>
      </c>
      <c r="H379" s="2">
        <v>9000000133</v>
      </c>
      <c r="I379" t="s">
        <v>18</v>
      </c>
      <c r="J379" t="s">
        <v>104</v>
      </c>
      <c r="K379" t="s">
        <v>105</v>
      </c>
      <c r="L379" t="s">
        <v>40</v>
      </c>
      <c r="M379" t="s">
        <v>41</v>
      </c>
      <c r="N379" t="s">
        <v>41</v>
      </c>
      <c r="O379" t="s">
        <v>42</v>
      </c>
      <c r="P379" t="s">
        <v>52</v>
      </c>
      <c r="Q379" t="s">
        <v>83</v>
      </c>
      <c r="R379" t="s">
        <v>114</v>
      </c>
      <c r="S379">
        <f>IF(enquiry_analysis_data[[#This Row],[enquiry_status]]="Converted",1,0)</f>
        <v>0</v>
      </c>
      <c r="T379" t="s">
        <v>28</v>
      </c>
    </row>
    <row r="380" spans="1:20" x14ac:dyDescent="0.3">
      <c r="A380">
        <v>63</v>
      </c>
      <c r="B380" s="1">
        <v>46152.850717592592</v>
      </c>
      <c r="C380" s="1" t="str">
        <f>TEXT(enquiry_analysis_data[[#This Row],[enquiry_date]],"mmmm-yyyy")</f>
        <v>May-2026</v>
      </c>
      <c r="D380">
        <f>YEAR(enquiry_analysis_data[[#This Row],[enquiry_date]])</f>
        <v>2026</v>
      </c>
      <c r="E380">
        <f>MONTH(enquiry_analysis_data[[#This Row],[enquiry_date]])</f>
        <v>5</v>
      </c>
      <c r="F380" t="s">
        <v>532</v>
      </c>
      <c r="G380" t="s">
        <v>745</v>
      </c>
      <c r="H380" s="2">
        <v>9000000060</v>
      </c>
      <c r="I380" t="s">
        <v>66</v>
      </c>
      <c r="J380" t="s">
        <v>19</v>
      </c>
      <c r="K380" t="s">
        <v>67</v>
      </c>
      <c r="L380" t="s">
        <v>40</v>
      </c>
      <c r="M380" t="s">
        <v>41</v>
      </c>
      <c r="N380" t="s">
        <v>41</v>
      </c>
      <c r="O380" t="s">
        <v>24</v>
      </c>
      <c r="P380" t="s">
        <v>52</v>
      </c>
      <c r="Q380" t="s">
        <v>63</v>
      </c>
      <c r="R380" t="s">
        <v>68</v>
      </c>
      <c r="S380">
        <f>IF(enquiry_analysis_data[[#This Row],[enquiry_status]]="Converted",1,0)</f>
        <v>1</v>
      </c>
      <c r="T380" t="s">
        <v>28</v>
      </c>
    </row>
    <row r="381" spans="1:20" x14ac:dyDescent="0.3">
      <c r="A381">
        <v>291</v>
      </c>
      <c r="B381" s="1">
        <v>46154.072337962964</v>
      </c>
      <c r="C381" s="1" t="str">
        <f>TEXT(enquiry_analysis_data[[#This Row],[enquiry_date]],"mmmm-yyyy")</f>
        <v>May-2026</v>
      </c>
      <c r="D381">
        <f>YEAR(enquiry_analysis_data[[#This Row],[enquiry_date]])</f>
        <v>2026</v>
      </c>
      <c r="E381">
        <f>MONTH(enquiry_analysis_data[[#This Row],[enquiry_date]])</f>
        <v>5</v>
      </c>
      <c r="F381" t="s">
        <v>570</v>
      </c>
      <c r="G381" t="s">
        <v>746</v>
      </c>
      <c r="H381" s="2">
        <v>9000000288</v>
      </c>
      <c r="I381" t="s">
        <v>48</v>
      </c>
      <c r="J381" t="s">
        <v>128</v>
      </c>
      <c r="K381" t="s">
        <v>105</v>
      </c>
      <c r="L381" t="s">
        <v>78</v>
      </c>
      <c r="M381" t="s">
        <v>79</v>
      </c>
      <c r="N381" t="s">
        <v>80</v>
      </c>
      <c r="O381" t="s">
        <v>42</v>
      </c>
      <c r="P381" t="s">
        <v>52</v>
      </c>
      <c r="Q381" t="s">
        <v>26</v>
      </c>
      <c r="R381" t="s">
        <v>27</v>
      </c>
      <c r="S381">
        <f>IF(enquiry_analysis_data[[#This Row],[enquiry_status]]="Converted",1,0)</f>
        <v>0</v>
      </c>
      <c r="T381" t="s">
        <v>28</v>
      </c>
    </row>
    <row r="382" spans="1:20" x14ac:dyDescent="0.3">
      <c r="A382">
        <v>138</v>
      </c>
      <c r="B382" s="1">
        <v>46154.694131944445</v>
      </c>
      <c r="C382" s="1" t="str">
        <f>TEXT(enquiry_analysis_data[[#This Row],[enquiry_date]],"mmmm-yyyy")</f>
        <v>May-2026</v>
      </c>
      <c r="D382">
        <f>YEAR(enquiry_analysis_data[[#This Row],[enquiry_date]])</f>
        <v>2026</v>
      </c>
      <c r="E382">
        <f>MONTH(enquiry_analysis_data[[#This Row],[enquiry_date]])</f>
        <v>5</v>
      </c>
      <c r="F382" t="s">
        <v>235</v>
      </c>
      <c r="G382" t="s">
        <v>747</v>
      </c>
      <c r="H382" s="2">
        <v>9000000135</v>
      </c>
      <c r="I382" t="s">
        <v>31</v>
      </c>
      <c r="J382" t="s">
        <v>19</v>
      </c>
      <c r="K382" t="s">
        <v>33</v>
      </c>
      <c r="L382" t="s">
        <v>72</v>
      </c>
      <c r="M382" t="s">
        <v>73</v>
      </c>
      <c r="N382" t="s">
        <v>74</v>
      </c>
      <c r="O382" t="s">
        <v>42</v>
      </c>
      <c r="P382" t="s">
        <v>25</v>
      </c>
      <c r="Q382" t="s">
        <v>83</v>
      </c>
      <c r="R382" t="s">
        <v>56</v>
      </c>
      <c r="S382">
        <f>IF(enquiry_analysis_data[[#This Row],[enquiry_status]]="Converted",1,0)</f>
        <v>0</v>
      </c>
      <c r="T382" t="s">
        <v>28</v>
      </c>
    </row>
    <row r="383" spans="1:20" x14ac:dyDescent="0.3">
      <c r="A383">
        <v>189</v>
      </c>
      <c r="B383" s="1">
        <v>46156.793807870374</v>
      </c>
      <c r="C383" s="1" t="str">
        <f>TEXT(enquiry_analysis_data[[#This Row],[enquiry_date]],"mmmm-yyyy")</f>
        <v>May-2026</v>
      </c>
      <c r="D383">
        <f>YEAR(enquiry_analysis_data[[#This Row],[enquiry_date]])</f>
        <v>2026</v>
      </c>
      <c r="E383">
        <f>MONTH(enquiry_analysis_data[[#This Row],[enquiry_date]])</f>
        <v>5</v>
      </c>
      <c r="F383" t="s">
        <v>748</v>
      </c>
      <c r="G383" t="s">
        <v>749</v>
      </c>
      <c r="H383" s="2">
        <v>9000000186</v>
      </c>
      <c r="I383" t="s">
        <v>123</v>
      </c>
      <c r="J383" t="s">
        <v>19</v>
      </c>
      <c r="K383" t="s">
        <v>67</v>
      </c>
      <c r="L383" t="s">
        <v>117</v>
      </c>
      <c r="M383" t="s">
        <v>118</v>
      </c>
      <c r="N383" t="s">
        <v>119</v>
      </c>
      <c r="O383" t="s">
        <v>42</v>
      </c>
      <c r="P383" t="s">
        <v>36</v>
      </c>
      <c r="Q383" t="s">
        <v>53</v>
      </c>
      <c r="R383" t="s">
        <v>27</v>
      </c>
      <c r="S383">
        <f>IF(enquiry_analysis_data[[#This Row],[enquiry_status]]="Converted",1,0)</f>
        <v>0</v>
      </c>
      <c r="T383" t="s">
        <v>28</v>
      </c>
    </row>
    <row r="384" spans="1:20" x14ac:dyDescent="0.3">
      <c r="A384">
        <v>190</v>
      </c>
      <c r="B384" s="1">
        <v>46156.883136574077</v>
      </c>
      <c r="C384" s="1" t="str">
        <f>TEXT(enquiry_analysis_data[[#This Row],[enquiry_date]],"mmmm-yyyy")</f>
        <v>May-2026</v>
      </c>
      <c r="D384">
        <f>YEAR(enquiry_analysis_data[[#This Row],[enquiry_date]])</f>
        <v>2026</v>
      </c>
      <c r="E384">
        <f>MONTH(enquiry_analysis_data[[#This Row],[enquiry_date]])</f>
        <v>5</v>
      </c>
      <c r="F384" t="s">
        <v>750</v>
      </c>
      <c r="G384" t="s">
        <v>751</v>
      </c>
      <c r="H384" s="2">
        <v>9000000187</v>
      </c>
      <c r="I384" t="s">
        <v>31</v>
      </c>
      <c r="J384" t="s">
        <v>19</v>
      </c>
      <c r="K384" t="s">
        <v>94</v>
      </c>
      <c r="L384" t="s">
        <v>154</v>
      </c>
      <c r="M384" t="s">
        <v>155</v>
      </c>
      <c r="N384" t="s">
        <v>156</v>
      </c>
      <c r="O384" t="s">
        <v>24</v>
      </c>
      <c r="P384" t="s">
        <v>52</v>
      </c>
      <c r="Q384" t="s">
        <v>141</v>
      </c>
      <c r="R384" t="s">
        <v>27</v>
      </c>
      <c r="S384">
        <f>IF(enquiry_analysis_data[[#This Row],[enquiry_status]]="Converted",1,0)</f>
        <v>0</v>
      </c>
      <c r="T384" t="s">
        <v>28</v>
      </c>
    </row>
    <row r="385" spans="1:20" x14ac:dyDescent="0.3">
      <c r="A385">
        <v>180</v>
      </c>
      <c r="B385" s="1">
        <v>46158.053356481483</v>
      </c>
      <c r="C385" s="1" t="str">
        <f>TEXT(enquiry_analysis_data[[#This Row],[enquiry_date]],"mmmm-yyyy")</f>
        <v>May-2026</v>
      </c>
      <c r="D385">
        <f>YEAR(enquiry_analysis_data[[#This Row],[enquiry_date]])</f>
        <v>2026</v>
      </c>
      <c r="E385">
        <f>MONTH(enquiry_analysis_data[[#This Row],[enquiry_date]])</f>
        <v>5</v>
      </c>
      <c r="F385" t="s">
        <v>428</v>
      </c>
      <c r="G385" t="s">
        <v>752</v>
      </c>
      <c r="H385" s="2">
        <v>9000000177</v>
      </c>
      <c r="I385" t="s">
        <v>71</v>
      </c>
      <c r="J385" t="s">
        <v>32</v>
      </c>
      <c r="K385" t="s">
        <v>33</v>
      </c>
      <c r="L385" t="s">
        <v>136</v>
      </c>
      <c r="M385" t="s">
        <v>137</v>
      </c>
      <c r="N385" t="s">
        <v>62</v>
      </c>
      <c r="O385" t="s">
        <v>42</v>
      </c>
      <c r="P385" t="s">
        <v>43</v>
      </c>
      <c r="Q385" t="s">
        <v>26</v>
      </c>
      <c r="R385" t="s">
        <v>56</v>
      </c>
      <c r="S385">
        <f>IF(enquiry_analysis_data[[#This Row],[enquiry_status]]="Converted",1,0)</f>
        <v>0</v>
      </c>
      <c r="T385" t="s">
        <v>28</v>
      </c>
    </row>
    <row r="386" spans="1:20" x14ac:dyDescent="0.3">
      <c r="A386">
        <v>213</v>
      </c>
      <c r="B386" s="1">
        <v>46159.38554398148</v>
      </c>
      <c r="C386" s="1" t="str">
        <f>TEXT(enquiry_analysis_data[[#This Row],[enquiry_date]],"mmmm-yyyy")</f>
        <v>May-2026</v>
      </c>
      <c r="D386">
        <f>YEAR(enquiry_analysis_data[[#This Row],[enquiry_date]])</f>
        <v>2026</v>
      </c>
      <c r="E386">
        <f>MONTH(enquiry_analysis_data[[#This Row],[enquiry_date]])</f>
        <v>5</v>
      </c>
      <c r="F386" t="s">
        <v>753</v>
      </c>
      <c r="G386" t="s">
        <v>754</v>
      </c>
      <c r="H386" s="2">
        <v>9000000210</v>
      </c>
      <c r="I386" t="s">
        <v>71</v>
      </c>
      <c r="J386" t="s">
        <v>32</v>
      </c>
      <c r="K386" t="s">
        <v>33</v>
      </c>
      <c r="L386" t="s">
        <v>72</v>
      </c>
      <c r="M386" t="s">
        <v>73</v>
      </c>
      <c r="N386" t="s">
        <v>74</v>
      </c>
      <c r="O386" t="s">
        <v>42</v>
      </c>
      <c r="P386" t="s">
        <v>43</v>
      </c>
      <c r="Q386" t="s">
        <v>53</v>
      </c>
      <c r="R386" t="s">
        <v>27</v>
      </c>
      <c r="S386">
        <f>IF(enquiry_analysis_data[[#This Row],[enquiry_status]]="Converted",1,0)</f>
        <v>0</v>
      </c>
      <c r="T386" t="s">
        <v>28</v>
      </c>
    </row>
    <row r="387" spans="1:20" x14ac:dyDescent="0.3">
      <c r="A387">
        <v>502</v>
      </c>
      <c r="B387" s="1">
        <v>46159.867905092593</v>
      </c>
      <c r="C387" s="1" t="str">
        <f>TEXT(enquiry_analysis_data[[#This Row],[enquiry_date]],"mmmm-yyyy")</f>
        <v>May-2026</v>
      </c>
      <c r="D387">
        <f>YEAR(enquiry_analysis_data[[#This Row],[enquiry_date]])</f>
        <v>2026</v>
      </c>
      <c r="E387">
        <f>MONTH(enquiry_analysis_data[[#This Row],[enquiry_date]])</f>
        <v>5</v>
      </c>
      <c r="F387" t="s">
        <v>755</v>
      </c>
      <c r="G387" t="s">
        <v>756</v>
      </c>
      <c r="H387" s="2">
        <v>9000000499</v>
      </c>
      <c r="I387" t="s">
        <v>93</v>
      </c>
      <c r="J387" t="s">
        <v>19</v>
      </c>
      <c r="K387" t="s">
        <v>33</v>
      </c>
      <c r="L387" t="s">
        <v>21</v>
      </c>
      <c r="M387" t="s">
        <v>22</v>
      </c>
      <c r="N387" t="s">
        <v>23</v>
      </c>
      <c r="O387" t="s">
        <v>42</v>
      </c>
      <c r="P387" t="s">
        <v>25</v>
      </c>
      <c r="Q387" t="s">
        <v>83</v>
      </c>
      <c r="R387" t="s">
        <v>114</v>
      </c>
      <c r="S387">
        <f>IF(enquiry_analysis_data[[#This Row],[enquiry_status]]="Converted",1,0)</f>
        <v>0</v>
      </c>
      <c r="T387" t="s">
        <v>28</v>
      </c>
    </row>
    <row r="388" spans="1:20" x14ac:dyDescent="0.3">
      <c r="A388">
        <v>356</v>
      </c>
      <c r="B388" s="1">
        <v>46161.4059375</v>
      </c>
      <c r="C388" s="1" t="str">
        <f>TEXT(enquiry_analysis_data[[#This Row],[enquiry_date]],"mmmm-yyyy")</f>
        <v>May-2026</v>
      </c>
      <c r="D388">
        <f>YEAR(enquiry_analysis_data[[#This Row],[enquiry_date]])</f>
        <v>2026</v>
      </c>
      <c r="E388">
        <f>MONTH(enquiry_analysis_data[[#This Row],[enquiry_date]])</f>
        <v>5</v>
      </c>
      <c r="F388" t="s">
        <v>707</v>
      </c>
      <c r="G388" t="s">
        <v>757</v>
      </c>
      <c r="H388" s="2">
        <v>9000000353</v>
      </c>
      <c r="I388" t="s">
        <v>77</v>
      </c>
      <c r="J388" t="s">
        <v>32</v>
      </c>
      <c r="K388" t="s">
        <v>33</v>
      </c>
      <c r="L388" t="s">
        <v>117</v>
      </c>
      <c r="M388" t="s">
        <v>118</v>
      </c>
      <c r="N388" t="s">
        <v>119</v>
      </c>
      <c r="O388" t="s">
        <v>42</v>
      </c>
      <c r="P388" t="s">
        <v>36</v>
      </c>
      <c r="Q388" t="s">
        <v>26</v>
      </c>
      <c r="R388" t="s">
        <v>56</v>
      </c>
      <c r="S388">
        <f>IF(enquiry_analysis_data[[#This Row],[enquiry_status]]="Converted",1,0)</f>
        <v>0</v>
      </c>
      <c r="T388" t="s">
        <v>28</v>
      </c>
    </row>
    <row r="389" spans="1:20" x14ac:dyDescent="0.3">
      <c r="A389">
        <v>471</v>
      </c>
      <c r="B389" s="1">
        <v>46162.787546296298</v>
      </c>
      <c r="C389" s="1" t="str">
        <f>TEXT(enquiry_analysis_data[[#This Row],[enquiry_date]],"mmmm-yyyy")</f>
        <v>May-2026</v>
      </c>
      <c r="D389">
        <f>YEAR(enquiry_analysis_data[[#This Row],[enquiry_date]])</f>
        <v>2026</v>
      </c>
      <c r="E389">
        <f>MONTH(enquiry_analysis_data[[#This Row],[enquiry_date]])</f>
        <v>5</v>
      </c>
      <c r="F389" t="s">
        <v>296</v>
      </c>
      <c r="G389" t="s">
        <v>758</v>
      </c>
      <c r="H389" s="2">
        <v>9000000468</v>
      </c>
      <c r="I389" t="s">
        <v>71</v>
      </c>
      <c r="J389" t="s">
        <v>49</v>
      </c>
      <c r="K389" t="s">
        <v>20</v>
      </c>
      <c r="L389" t="s">
        <v>60</v>
      </c>
      <c r="M389" t="s">
        <v>61</v>
      </c>
      <c r="N389" t="s">
        <v>62</v>
      </c>
      <c r="O389" t="s">
        <v>42</v>
      </c>
      <c r="P389" t="s">
        <v>52</v>
      </c>
      <c r="Q389" t="s">
        <v>63</v>
      </c>
      <c r="R389" t="s">
        <v>27</v>
      </c>
      <c r="S389">
        <f>IF(enquiry_analysis_data[[#This Row],[enquiry_status]]="Converted",1,0)</f>
        <v>0</v>
      </c>
      <c r="T389" t="s">
        <v>28</v>
      </c>
    </row>
    <row r="390" spans="1:20" x14ac:dyDescent="0.3">
      <c r="A390">
        <v>128</v>
      </c>
      <c r="B390" s="1">
        <v>46162.903738425928</v>
      </c>
      <c r="C390" s="1" t="str">
        <f>TEXT(enquiry_analysis_data[[#This Row],[enquiry_date]],"mmmm-yyyy")</f>
        <v>May-2026</v>
      </c>
      <c r="D390">
        <f>YEAR(enquiry_analysis_data[[#This Row],[enquiry_date]])</f>
        <v>2026</v>
      </c>
      <c r="E390">
        <f>MONTH(enquiry_analysis_data[[#This Row],[enquiry_date]])</f>
        <v>5</v>
      </c>
      <c r="F390" t="s">
        <v>674</v>
      </c>
      <c r="G390" t="s">
        <v>759</v>
      </c>
      <c r="H390" s="2">
        <v>9000000125</v>
      </c>
      <c r="I390" t="s">
        <v>48</v>
      </c>
      <c r="J390" t="s">
        <v>49</v>
      </c>
      <c r="K390" t="s">
        <v>20</v>
      </c>
      <c r="L390" t="s">
        <v>136</v>
      </c>
      <c r="M390" t="s">
        <v>137</v>
      </c>
      <c r="N390" t="s">
        <v>62</v>
      </c>
      <c r="O390" t="s">
        <v>24</v>
      </c>
      <c r="P390" t="s">
        <v>52</v>
      </c>
      <c r="Q390" t="s">
        <v>141</v>
      </c>
      <c r="R390" t="s">
        <v>56</v>
      </c>
      <c r="S390">
        <f>IF(enquiry_analysis_data[[#This Row],[enquiry_status]]="Converted",1,0)</f>
        <v>0</v>
      </c>
      <c r="T390" t="s">
        <v>28</v>
      </c>
    </row>
    <row r="391" spans="1:20" x14ac:dyDescent="0.3">
      <c r="A391">
        <v>350</v>
      </c>
      <c r="B391" s="1">
        <v>46163.312013888892</v>
      </c>
      <c r="C391" s="1" t="str">
        <f>TEXT(enquiry_analysis_data[[#This Row],[enquiry_date]],"mmmm-yyyy")</f>
        <v>May-2026</v>
      </c>
      <c r="D391">
        <f>YEAR(enquiry_analysis_data[[#This Row],[enquiry_date]])</f>
        <v>2026</v>
      </c>
      <c r="E391">
        <f>MONTH(enquiry_analysis_data[[#This Row],[enquiry_date]])</f>
        <v>5</v>
      </c>
      <c r="F391" t="s">
        <v>522</v>
      </c>
      <c r="G391" t="s">
        <v>760</v>
      </c>
      <c r="H391" s="2">
        <v>9000000347</v>
      </c>
      <c r="I391" t="s">
        <v>93</v>
      </c>
      <c r="J391" t="s">
        <v>19</v>
      </c>
      <c r="K391" t="s">
        <v>33</v>
      </c>
      <c r="L391" t="s">
        <v>117</v>
      </c>
      <c r="M391" t="s">
        <v>118</v>
      </c>
      <c r="N391" t="s">
        <v>119</v>
      </c>
      <c r="O391" t="s">
        <v>42</v>
      </c>
      <c r="P391" t="s">
        <v>52</v>
      </c>
      <c r="Q391" t="s">
        <v>141</v>
      </c>
      <c r="R391" t="s">
        <v>68</v>
      </c>
      <c r="S391">
        <f>IF(enquiry_analysis_data[[#This Row],[enquiry_status]]="Converted",1,0)</f>
        <v>1</v>
      </c>
      <c r="T391" t="s">
        <v>28</v>
      </c>
    </row>
    <row r="392" spans="1:20" x14ac:dyDescent="0.3">
      <c r="A392">
        <v>383</v>
      </c>
      <c r="B392" s="1">
        <v>46165.836493055554</v>
      </c>
      <c r="C392" s="1" t="str">
        <f>TEXT(enquiry_analysis_data[[#This Row],[enquiry_date]],"mmmm-yyyy")</f>
        <v>May-2026</v>
      </c>
      <c r="D392">
        <f>YEAR(enquiry_analysis_data[[#This Row],[enquiry_date]])</f>
        <v>2026</v>
      </c>
      <c r="E392">
        <f>MONTH(enquiry_analysis_data[[#This Row],[enquiry_date]])</f>
        <v>5</v>
      </c>
      <c r="F392" t="s">
        <v>761</v>
      </c>
      <c r="G392" t="s">
        <v>762</v>
      </c>
      <c r="H392" s="2">
        <v>9000000380</v>
      </c>
      <c r="I392" t="s">
        <v>88</v>
      </c>
      <c r="J392" t="s">
        <v>128</v>
      </c>
      <c r="K392" t="s">
        <v>20</v>
      </c>
      <c r="L392" t="s">
        <v>72</v>
      </c>
      <c r="M392" t="s">
        <v>73</v>
      </c>
      <c r="N392" t="s">
        <v>74</v>
      </c>
      <c r="O392" t="s">
        <v>42</v>
      </c>
      <c r="P392" t="s">
        <v>36</v>
      </c>
      <c r="Q392" t="s">
        <v>83</v>
      </c>
      <c r="R392" t="s">
        <v>45</v>
      </c>
      <c r="S392">
        <f>IF(enquiry_analysis_data[[#This Row],[enquiry_status]]="Converted",1,0)</f>
        <v>0</v>
      </c>
      <c r="T392" t="s">
        <v>28</v>
      </c>
    </row>
    <row r="393" spans="1:20" x14ac:dyDescent="0.3">
      <c r="A393">
        <v>395</v>
      </c>
      <c r="B393" s="1">
        <v>46166.775995370372</v>
      </c>
      <c r="C393" s="1" t="str">
        <f>TEXT(enquiry_analysis_data[[#This Row],[enquiry_date]],"mmmm-yyyy")</f>
        <v>May-2026</v>
      </c>
      <c r="D393">
        <f>YEAR(enquiry_analysis_data[[#This Row],[enquiry_date]])</f>
        <v>2026</v>
      </c>
      <c r="E393">
        <f>MONTH(enquiry_analysis_data[[#This Row],[enquiry_date]])</f>
        <v>5</v>
      </c>
      <c r="F393" t="s">
        <v>649</v>
      </c>
      <c r="G393" t="s">
        <v>763</v>
      </c>
      <c r="H393" s="2">
        <v>9000000392</v>
      </c>
      <c r="I393" t="s">
        <v>66</v>
      </c>
      <c r="J393" t="s">
        <v>19</v>
      </c>
      <c r="K393" t="s">
        <v>33</v>
      </c>
      <c r="L393" t="s">
        <v>34</v>
      </c>
      <c r="M393" t="s">
        <v>35</v>
      </c>
      <c r="N393" t="s">
        <v>35</v>
      </c>
      <c r="O393" t="s">
        <v>42</v>
      </c>
      <c r="P393" t="s">
        <v>43</v>
      </c>
      <c r="Q393" t="s">
        <v>26</v>
      </c>
      <c r="R393" t="s">
        <v>68</v>
      </c>
      <c r="S393">
        <f>IF(enquiry_analysis_data[[#This Row],[enquiry_status]]="Converted",1,0)</f>
        <v>1</v>
      </c>
      <c r="T393" t="s">
        <v>28</v>
      </c>
    </row>
    <row r="394" spans="1:20" x14ac:dyDescent="0.3">
      <c r="A394">
        <v>55</v>
      </c>
      <c r="B394" s="1">
        <v>46166.958680555559</v>
      </c>
      <c r="C394" s="1" t="str">
        <f>TEXT(enquiry_analysis_data[[#This Row],[enquiry_date]],"mmmm-yyyy")</f>
        <v>May-2026</v>
      </c>
      <c r="D394">
        <f>YEAR(enquiry_analysis_data[[#This Row],[enquiry_date]])</f>
        <v>2026</v>
      </c>
      <c r="E394">
        <f>MONTH(enquiry_analysis_data[[#This Row],[enquiry_date]])</f>
        <v>5</v>
      </c>
      <c r="F394" t="s">
        <v>595</v>
      </c>
      <c r="G394" t="s">
        <v>764</v>
      </c>
      <c r="H394" s="2">
        <v>9000000052</v>
      </c>
      <c r="I394" t="s">
        <v>93</v>
      </c>
      <c r="J394" t="s">
        <v>49</v>
      </c>
      <c r="K394" t="s">
        <v>20</v>
      </c>
      <c r="L394" t="s">
        <v>106</v>
      </c>
      <c r="M394" t="s">
        <v>107</v>
      </c>
      <c r="N394" t="s">
        <v>108</v>
      </c>
      <c r="O394" t="s">
        <v>42</v>
      </c>
      <c r="P394" t="s">
        <v>25</v>
      </c>
      <c r="Q394" t="s">
        <v>138</v>
      </c>
      <c r="R394" t="s">
        <v>27</v>
      </c>
      <c r="S394">
        <f>IF(enquiry_analysis_data[[#This Row],[enquiry_status]]="Converted",1,0)</f>
        <v>0</v>
      </c>
      <c r="T394" t="s">
        <v>28</v>
      </c>
    </row>
    <row r="395" spans="1:20" x14ac:dyDescent="0.3">
      <c r="A395">
        <v>336</v>
      </c>
      <c r="B395" s="1">
        <v>46167.10800925926</v>
      </c>
      <c r="C395" s="1" t="str">
        <f>TEXT(enquiry_analysis_data[[#This Row],[enquiry_date]],"mmmm-yyyy")</f>
        <v>May-2026</v>
      </c>
      <c r="D395">
        <f>YEAR(enquiry_analysis_data[[#This Row],[enquiry_date]])</f>
        <v>2026</v>
      </c>
      <c r="E395">
        <f>MONTH(enquiry_analysis_data[[#This Row],[enquiry_date]])</f>
        <v>5</v>
      </c>
      <c r="F395" t="s">
        <v>586</v>
      </c>
      <c r="G395" t="s">
        <v>765</v>
      </c>
      <c r="H395" s="2">
        <v>9000000333</v>
      </c>
      <c r="I395" t="s">
        <v>77</v>
      </c>
      <c r="J395" t="s">
        <v>104</v>
      </c>
      <c r="K395" t="s">
        <v>105</v>
      </c>
      <c r="L395" t="s">
        <v>60</v>
      </c>
      <c r="M395" t="s">
        <v>61</v>
      </c>
      <c r="N395" t="s">
        <v>62</v>
      </c>
      <c r="O395" t="s">
        <v>24</v>
      </c>
      <c r="P395" t="s">
        <v>25</v>
      </c>
      <c r="Q395" t="s">
        <v>83</v>
      </c>
      <c r="R395" t="s">
        <v>68</v>
      </c>
      <c r="S395">
        <f>IF(enquiry_analysis_data[[#This Row],[enquiry_status]]="Converted",1,0)</f>
        <v>1</v>
      </c>
      <c r="T395" t="s">
        <v>28</v>
      </c>
    </row>
    <row r="396" spans="1:20" x14ac:dyDescent="0.3">
      <c r="A396">
        <v>11</v>
      </c>
      <c r="B396" s="1">
        <v>46167.950312499997</v>
      </c>
      <c r="C396" s="1" t="str">
        <f>TEXT(enquiry_analysis_data[[#This Row],[enquiry_date]],"mmmm-yyyy")</f>
        <v>May-2026</v>
      </c>
      <c r="D396">
        <f>YEAR(enquiry_analysis_data[[#This Row],[enquiry_date]])</f>
        <v>2026</v>
      </c>
      <c r="E396">
        <f>MONTH(enquiry_analysis_data[[#This Row],[enquiry_date]])</f>
        <v>5</v>
      </c>
      <c r="F396" t="s">
        <v>766</v>
      </c>
      <c r="G396" t="s">
        <v>767</v>
      </c>
      <c r="H396" s="2">
        <v>9000000008</v>
      </c>
      <c r="I396" t="s">
        <v>31</v>
      </c>
      <c r="J396" t="s">
        <v>32</v>
      </c>
      <c r="K396" t="s">
        <v>33</v>
      </c>
      <c r="L396" t="s">
        <v>78</v>
      </c>
      <c r="M396" t="s">
        <v>79</v>
      </c>
      <c r="N396" t="s">
        <v>80</v>
      </c>
      <c r="O396" t="s">
        <v>24</v>
      </c>
      <c r="P396" t="s">
        <v>43</v>
      </c>
      <c r="Q396" t="s">
        <v>53</v>
      </c>
      <c r="R396" t="s">
        <v>45</v>
      </c>
      <c r="S396">
        <f>IF(enquiry_analysis_data[[#This Row],[enquiry_status]]="Converted",1,0)</f>
        <v>0</v>
      </c>
      <c r="T396" t="s">
        <v>28</v>
      </c>
    </row>
    <row r="397" spans="1:20" x14ac:dyDescent="0.3">
      <c r="A397">
        <v>400</v>
      </c>
      <c r="B397" s="1">
        <v>46168.041365740741</v>
      </c>
      <c r="C397" s="1" t="str">
        <f>TEXT(enquiry_analysis_data[[#This Row],[enquiry_date]],"mmmm-yyyy")</f>
        <v>May-2026</v>
      </c>
      <c r="D397">
        <f>YEAR(enquiry_analysis_data[[#This Row],[enquiry_date]])</f>
        <v>2026</v>
      </c>
      <c r="E397">
        <f>MONTH(enquiry_analysis_data[[#This Row],[enquiry_date]])</f>
        <v>5</v>
      </c>
      <c r="F397" t="s">
        <v>464</v>
      </c>
      <c r="G397" t="s">
        <v>768</v>
      </c>
      <c r="H397" s="2">
        <v>9000000397</v>
      </c>
      <c r="I397" t="s">
        <v>18</v>
      </c>
      <c r="J397" t="s">
        <v>19</v>
      </c>
      <c r="K397" t="s">
        <v>94</v>
      </c>
      <c r="L397" t="s">
        <v>72</v>
      </c>
      <c r="M397" t="s">
        <v>73</v>
      </c>
      <c r="N397" t="s">
        <v>74</v>
      </c>
      <c r="O397" t="s">
        <v>24</v>
      </c>
      <c r="P397" t="s">
        <v>36</v>
      </c>
      <c r="Q397" t="s">
        <v>138</v>
      </c>
      <c r="R397" t="s">
        <v>56</v>
      </c>
      <c r="S397">
        <f>IF(enquiry_analysis_data[[#This Row],[enquiry_status]]="Converted",1,0)</f>
        <v>0</v>
      </c>
      <c r="T397" t="s">
        <v>28</v>
      </c>
    </row>
    <row r="398" spans="1:20" x14ac:dyDescent="0.3">
      <c r="A398">
        <v>77</v>
      </c>
      <c r="B398" s="1">
        <v>46170.160138888888</v>
      </c>
      <c r="C398" s="1" t="str">
        <f>TEXT(enquiry_analysis_data[[#This Row],[enquiry_date]],"mmmm-yyyy")</f>
        <v>May-2026</v>
      </c>
      <c r="D398">
        <f>YEAR(enquiry_analysis_data[[#This Row],[enquiry_date]])</f>
        <v>2026</v>
      </c>
      <c r="E398">
        <f>MONTH(enquiry_analysis_data[[#This Row],[enquiry_date]])</f>
        <v>5</v>
      </c>
      <c r="F398" t="s">
        <v>769</v>
      </c>
      <c r="G398" t="s">
        <v>770</v>
      </c>
      <c r="H398" s="2">
        <v>9000000074</v>
      </c>
      <c r="I398" t="s">
        <v>18</v>
      </c>
      <c r="J398" t="s">
        <v>19</v>
      </c>
      <c r="K398" t="s">
        <v>67</v>
      </c>
      <c r="L398" t="s">
        <v>106</v>
      </c>
      <c r="M398" t="s">
        <v>107</v>
      </c>
      <c r="N398" t="s">
        <v>108</v>
      </c>
      <c r="O398" t="s">
        <v>24</v>
      </c>
      <c r="P398" t="s">
        <v>52</v>
      </c>
      <c r="Q398" t="s">
        <v>37</v>
      </c>
      <c r="R398" t="s">
        <v>68</v>
      </c>
      <c r="S398">
        <f>IF(enquiry_analysis_data[[#This Row],[enquiry_status]]="Converted",1,0)</f>
        <v>1</v>
      </c>
      <c r="T398" t="s">
        <v>28</v>
      </c>
    </row>
    <row r="399" spans="1:20" x14ac:dyDescent="0.3">
      <c r="A399">
        <v>380</v>
      </c>
      <c r="B399" s="1">
        <v>46170.556446759256</v>
      </c>
      <c r="C399" s="1" t="str">
        <f>TEXT(enquiry_analysis_data[[#This Row],[enquiry_date]],"mmmm-yyyy")</f>
        <v>May-2026</v>
      </c>
      <c r="D399">
        <f>YEAR(enquiry_analysis_data[[#This Row],[enquiry_date]])</f>
        <v>2026</v>
      </c>
      <c r="E399">
        <f>MONTH(enquiry_analysis_data[[#This Row],[enquiry_date]])</f>
        <v>5</v>
      </c>
      <c r="F399" t="s">
        <v>476</v>
      </c>
      <c r="G399" t="s">
        <v>771</v>
      </c>
      <c r="H399" s="2">
        <v>9000000377</v>
      </c>
      <c r="I399" t="s">
        <v>93</v>
      </c>
      <c r="J399" t="s">
        <v>19</v>
      </c>
      <c r="K399" t="s">
        <v>20</v>
      </c>
      <c r="L399" t="s">
        <v>72</v>
      </c>
      <c r="M399" t="s">
        <v>73</v>
      </c>
      <c r="N399" t="s">
        <v>74</v>
      </c>
      <c r="O399" t="s">
        <v>42</v>
      </c>
      <c r="P399" t="s">
        <v>25</v>
      </c>
      <c r="Q399" t="s">
        <v>53</v>
      </c>
      <c r="R399" t="s">
        <v>27</v>
      </c>
      <c r="S399">
        <f>IF(enquiry_analysis_data[[#This Row],[enquiry_status]]="Converted",1,0)</f>
        <v>0</v>
      </c>
      <c r="T399" t="s">
        <v>28</v>
      </c>
    </row>
    <row r="400" spans="1:20" x14ac:dyDescent="0.3">
      <c r="A400">
        <v>359</v>
      </c>
      <c r="B400" s="1">
        <v>46172.480324074073</v>
      </c>
      <c r="C400" s="1" t="str">
        <f>TEXT(enquiry_analysis_data[[#This Row],[enquiry_date]],"mmmm-yyyy")</f>
        <v>May-2026</v>
      </c>
      <c r="D400">
        <f>YEAR(enquiry_analysis_data[[#This Row],[enquiry_date]])</f>
        <v>2026</v>
      </c>
      <c r="E400">
        <f>MONTH(enquiry_analysis_data[[#This Row],[enquiry_date]])</f>
        <v>5</v>
      </c>
      <c r="F400" t="s">
        <v>474</v>
      </c>
      <c r="G400" t="s">
        <v>772</v>
      </c>
      <c r="H400" s="2">
        <v>9000000356</v>
      </c>
      <c r="I400" t="s">
        <v>48</v>
      </c>
      <c r="J400" t="s">
        <v>19</v>
      </c>
      <c r="K400" t="s">
        <v>94</v>
      </c>
      <c r="L400" t="s">
        <v>72</v>
      </c>
      <c r="M400" t="s">
        <v>73</v>
      </c>
      <c r="N400" t="s">
        <v>74</v>
      </c>
      <c r="O400" t="s">
        <v>42</v>
      </c>
      <c r="P400" t="s">
        <v>52</v>
      </c>
      <c r="Q400" t="s">
        <v>141</v>
      </c>
      <c r="R400" t="s">
        <v>68</v>
      </c>
      <c r="S400">
        <f>IF(enquiry_analysis_data[[#This Row],[enquiry_status]]="Converted",1,0)</f>
        <v>1</v>
      </c>
      <c r="T400" t="s">
        <v>28</v>
      </c>
    </row>
    <row r="401" spans="1:20" x14ac:dyDescent="0.3">
      <c r="A401">
        <v>103</v>
      </c>
      <c r="B401" s="1">
        <v>46172.670578703706</v>
      </c>
      <c r="C401" s="1" t="str">
        <f>TEXT(enquiry_analysis_data[[#This Row],[enquiry_date]],"mmmm-yyyy")</f>
        <v>May-2026</v>
      </c>
      <c r="D401">
        <f>YEAR(enquiry_analysis_data[[#This Row],[enquiry_date]])</f>
        <v>2026</v>
      </c>
      <c r="E401">
        <f>MONTH(enquiry_analysis_data[[#This Row],[enquiry_date]])</f>
        <v>5</v>
      </c>
      <c r="F401" t="s">
        <v>329</v>
      </c>
      <c r="G401" t="s">
        <v>773</v>
      </c>
      <c r="H401" s="2">
        <v>9000000100</v>
      </c>
      <c r="I401" t="s">
        <v>71</v>
      </c>
      <c r="J401" t="s">
        <v>128</v>
      </c>
      <c r="K401" t="s">
        <v>94</v>
      </c>
      <c r="L401" t="s">
        <v>117</v>
      </c>
      <c r="M401" t="s">
        <v>118</v>
      </c>
      <c r="N401" t="s">
        <v>119</v>
      </c>
      <c r="O401" t="s">
        <v>42</v>
      </c>
      <c r="P401" t="s">
        <v>25</v>
      </c>
      <c r="Q401" t="s">
        <v>44</v>
      </c>
      <c r="R401" t="s">
        <v>45</v>
      </c>
      <c r="S401">
        <f>IF(enquiry_analysis_data[[#This Row],[enquiry_status]]="Converted",1,0)</f>
        <v>0</v>
      </c>
      <c r="T401" t="s">
        <v>28</v>
      </c>
    </row>
    <row r="402" spans="1:20" x14ac:dyDescent="0.3">
      <c r="A402">
        <v>153</v>
      </c>
      <c r="B402" s="1">
        <v>46172.741759259261</v>
      </c>
      <c r="C402" s="1" t="str">
        <f>TEXT(enquiry_analysis_data[[#This Row],[enquiry_date]],"mmmm-yyyy")</f>
        <v>May-2026</v>
      </c>
      <c r="D402">
        <f>YEAR(enquiry_analysis_data[[#This Row],[enquiry_date]])</f>
        <v>2026</v>
      </c>
      <c r="E402">
        <f>MONTH(enquiry_analysis_data[[#This Row],[enquiry_date]])</f>
        <v>5</v>
      </c>
      <c r="F402" t="s">
        <v>674</v>
      </c>
      <c r="G402" t="s">
        <v>774</v>
      </c>
      <c r="H402" s="2">
        <v>9000000150</v>
      </c>
      <c r="I402" t="s">
        <v>123</v>
      </c>
      <c r="J402" t="s">
        <v>128</v>
      </c>
      <c r="K402" t="s">
        <v>20</v>
      </c>
      <c r="L402" t="s">
        <v>136</v>
      </c>
      <c r="M402" t="s">
        <v>137</v>
      </c>
      <c r="N402" t="s">
        <v>62</v>
      </c>
      <c r="O402" t="s">
        <v>42</v>
      </c>
      <c r="P402" t="s">
        <v>36</v>
      </c>
      <c r="Q402" t="s">
        <v>83</v>
      </c>
      <c r="R402" t="s">
        <v>68</v>
      </c>
      <c r="S402">
        <f>IF(enquiry_analysis_data[[#This Row],[enquiry_status]]="Converted",1,0)</f>
        <v>1</v>
      </c>
      <c r="T402" t="s">
        <v>28</v>
      </c>
    </row>
    <row r="403" spans="1:20" x14ac:dyDescent="0.3">
      <c r="A403">
        <v>19</v>
      </c>
      <c r="B403" s="1">
        <v>46173.342129629629</v>
      </c>
      <c r="C403" s="1" t="str">
        <f>TEXT(enquiry_analysis_data[[#This Row],[enquiry_date]],"mmmm-yyyy")</f>
        <v>May-2026</v>
      </c>
      <c r="D403">
        <f>YEAR(enquiry_analysis_data[[#This Row],[enquiry_date]])</f>
        <v>2026</v>
      </c>
      <c r="E403">
        <f>MONTH(enquiry_analysis_data[[#This Row],[enquiry_date]])</f>
        <v>5</v>
      </c>
      <c r="F403" t="s">
        <v>409</v>
      </c>
      <c r="G403" t="s">
        <v>775</v>
      </c>
      <c r="H403" s="2">
        <v>9000000016</v>
      </c>
      <c r="I403" t="s">
        <v>31</v>
      </c>
      <c r="J403" t="s">
        <v>49</v>
      </c>
      <c r="K403" t="s">
        <v>33</v>
      </c>
      <c r="L403" t="s">
        <v>72</v>
      </c>
      <c r="M403" t="s">
        <v>73</v>
      </c>
      <c r="N403" t="s">
        <v>74</v>
      </c>
      <c r="O403" t="s">
        <v>42</v>
      </c>
      <c r="P403" t="s">
        <v>36</v>
      </c>
      <c r="Q403" t="s">
        <v>63</v>
      </c>
      <c r="R403" t="s">
        <v>114</v>
      </c>
      <c r="S403">
        <f>IF(enquiry_analysis_data[[#This Row],[enquiry_status]]="Converted",1,0)</f>
        <v>0</v>
      </c>
      <c r="T403" t="s">
        <v>28</v>
      </c>
    </row>
    <row r="404" spans="1:20" x14ac:dyDescent="0.3">
      <c r="A404">
        <v>352</v>
      </c>
      <c r="B404" s="1">
        <v>46178.976805555554</v>
      </c>
      <c r="C404" s="1" t="str">
        <f>TEXT(enquiry_analysis_data[[#This Row],[enquiry_date]],"mmmm-yyyy")</f>
        <v>June-2026</v>
      </c>
      <c r="D404">
        <f>YEAR(enquiry_analysis_data[[#This Row],[enquiry_date]])</f>
        <v>2026</v>
      </c>
      <c r="E404">
        <f>MONTH(enquiry_analysis_data[[#This Row],[enquiry_date]])</f>
        <v>6</v>
      </c>
      <c r="F404" t="s">
        <v>776</v>
      </c>
      <c r="G404" t="s">
        <v>777</v>
      </c>
      <c r="H404" s="2">
        <v>9000000349</v>
      </c>
      <c r="I404" t="s">
        <v>31</v>
      </c>
      <c r="J404" t="s">
        <v>128</v>
      </c>
      <c r="K404" t="s">
        <v>33</v>
      </c>
      <c r="L404" t="s">
        <v>21</v>
      </c>
      <c r="M404" t="s">
        <v>22</v>
      </c>
      <c r="N404" t="s">
        <v>23</v>
      </c>
      <c r="O404" t="s">
        <v>24</v>
      </c>
      <c r="P404" t="s">
        <v>25</v>
      </c>
      <c r="Q404" t="s">
        <v>141</v>
      </c>
      <c r="R404" t="s">
        <v>114</v>
      </c>
      <c r="S404">
        <f>IF(enquiry_analysis_data[[#This Row],[enquiry_status]]="Converted",1,0)</f>
        <v>0</v>
      </c>
      <c r="T404" t="s">
        <v>28</v>
      </c>
    </row>
    <row r="405" spans="1:20" x14ac:dyDescent="0.3">
      <c r="A405">
        <v>314</v>
      </c>
      <c r="B405" s="1">
        <v>46180.230671296296</v>
      </c>
      <c r="C405" s="1" t="str">
        <f>TEXT(enquiry_analysis_data[[#This Row],[enquiry_date]],"mmmm-yyyy")</f>
        <v>June-2026</v>
      </c>
      <c r="D405">
        <f>YEAR(enquiry_analysis_data[[#This Row],[enquiry_date]])</f>
        <v>2026</v>
      </c>
      <c r="E405">
        <f>MONTH(enquiry_analysis_data[[#This Row],[enquiry_date]])</f>
        <v>6</v>
      </c>
      <c r="F405" t="s">
        <v>778</v>
      </c>
      <c r="G405" t="s">
        <v>779</v>
      </c>
      <c r="H405" s="2">
        <v>9000000311</v>
      </c>
      <c r="I405" t="s">
        <v>77</v>
      </c>
      <c r="J405" t="s">
        <v>19</v>
      </c>
      <c r="K405" t="s">
        <v>67</v>
      </c>
      <c r="L405" t="s">
        <v>111</v>
      </c>
      <c r="M405" t="s">
        <v>112</v>
      </c>
      <c r="N405" t="s">
        <v>113</v>
      </c>
      <c r="O405" t="s">
        <v>24</v>
      </c>
      <c r="P405" t="s">
        <v>36</v>
      </c>
      <c r="Q405" t="s">
        <v>26</v>
      </c>
      <c r="R405" t="s">
        <v>56</v>
      </c>
      <c r="S405">
        <f>IF(enquiry_analysis_data[[#This Row],[enquiry_status]]="Converted",1,0)</f>
        <v>0</v>
      </c>
      <c r="T405" t="s">
        <v>28</v>
      </c>
    </row>
    <row r="406" spans="1:20" x14ac:dyDescent="0.3">
      <c r="A406">
        <v>177</v>
      </c>
      <c r="B406" s="1">
        <v>46180.351180555554</v>
      </c>
      <c r="C406" s="1" t="str">
        <f>TEXT(enquiry_analysis_data[[#This Row],[enquiry_date]],"mmmm-yyyy")</f>
        <v>June-2026</v>
      </c>
      <c r="D406">
        <f>YEAR(enquiry_analysis_data[[#This Row],[enquiry_date]])</f>
        <v>2026</v>
      </c>
      <c r="E406">
        <f>MONTH(enquiry_analysis_data[[#This Row],[enquiry_date]])</f>
        <v>6</v>
      </c>
      <c r="F406" t="s">
        <v>780</v>
      </c>
      <c r="G406" t="s">
        <v>781</v>
      </c>
      <c r="H406" s="2">
        <v>9000000174</v>
      </c>
      <c r="I406" t="s">
        <v>31</v>
      </c>
      <c r="J406" t="s">
        <v>104</v>
      </c>
      <c r="K406" t="s">
        <v>105</v>
      </c>
      <c r="L406" t="s">
        <v>72</v>
      </c>
      <c r="M406" t="s">
        <v>73</v>
      </c>
      <c r="N406" t="s">
        <v>74</v>
      </c>
      <c r="O406" t="s">
        <v>24</v>
      </c>
      <c r="P406" t="s">
        <v>43</v>
      </c>
      <c r="Q406" t="s">
        <v>26</v>
      </c>
      <c r="R406" t="s">
        <v>114</v>
      </c>
      <c r="S406">
        <f>IF(enquiry_analysis_data[[#This Row],[enquiry_status]]="Converted",1,0)</f>
        <v>0</v>
      </c>
      <c r="T406" t="s">
        <v>28</v>
      </c>
    </row>
    <row r="407" spans="1:20" x14ac:dyDescent="0.3">
      <c r="A407">
        <v>494</v>
      </c>
      <c r="B407" s="1">
        <v>46180.403113425928</v>
      </c>
      <c r="C407" s="1" t="str">
        <f>TEXT(enquiry_analysis_data[[#This Row],[enquiry_date]],"mmmm-yyyy")</f>
        <v>June-2026</v>
      </c>
      <c r="D407">
        <f>YEAR(enquiry_analysis_data[[#This Row],[enquiry_date]])</f>
        <v>2026</v>
      </c>
      <c r="E407">
        <f>MONTH(enquiry_analysis_data[[#This Row],[enquiry_date]])</f>
        <v>6</v>
      </c>
      <c r="F407" t="s">
        <v>782</v>
      </c>
      <c r="G407" t="s">
        <v>783</v>
      </c>
      <c r="H407" s="2">
        <v>9000000491</v>
      </c>
      <c r="I407" t="s">
        <v>48</v>
      </c>
      <c r="J407" t="s">
        <v>19</v>
      </c>
      <c r="K407" t="s">
        <v>94</v>
      </c>
      <c r="L407" t="s">
        <v>78</v>
      </c>
      <c r="M407" t="s">
        <v>79</v>
      </c>
      <c r="N407" t="s">
        <v>80</v>
      </c>
      <c r="O407" t="s">
        <v>24</v>
      </c>
      <c r="P407" t="s">
        <v>43</v>
      </c>
      <c r="Q407" t="s">
        <v>141</v>
      </c>
      <c r="R407" t="s">
        <v>114</v>
      </c>
      <c r="S407">
        <f>IF(enquiry_analysis_data[[#This Row],[enquiry_status]]="Converted",1,0)</f>
        <v>0</v>
      </c>
      <c r="T407" t="s">
        <v>28</v>
      </c>
    </row>
    <row r="408" spans="1:20" x14ac:dyDescent="0.3">
      <c r="A408">
        <v>367</v>
      </c>
      <c r="B408" s="1">
        <v>46181.341585648152</v>
      </c>
      <c r="C408" s="1" t="str">
        <f>TEXT(enquiry_analysis_data[[#This Row],[enquiry_date]],"mmmm-yyyy")</f>
        <v>June-2026</v>
      </c>
      <c r="D408">
        <f>YEAR(enquiry_analysis_data[[#This Row],[enquiry_date]])</f>
        <v>2026</v>
      </c>
      <c r="E408">
        <f>MONTH(enquiry_analysis_data[[#This Row],[enquiry_date]])</f>
        <v>6</v>
      </c>
      <c r="F408" t="s">
        <v>784</v>
      </c>
      <c r="G408" t="s">
        <v>785</v>
      </c>
      <c r="H408" s="2">
        <v>9000000364</v>
      </c>
      <c r="I408" t="s">
        <v>88</v>
      </c>
      <c r="J408" t="s">
        <v>128</v>
      </c>
      <c r="K408" t="s">
        <v>20</v>
      </c>
      <c r="L408" t="s">
        <v>34</v>
      </c>
      <c r="M408" t="s">
        <v>35</v>
      </c>
      <c r="N408" t="s">
        <v>35</v>
      </c>
      <c r="O408" t="s">
        <v>24</v>
      </c>
      <c r="P408" t="s">
        <v>52</v>
      </c>
      <c r="Q408" t="s">
        <v>141</v>
      </c>
      <c r="R408" t="s">
        <v>27</v>
      </c>
      <c r="S408">
        <f>IF(enquiry_analysis_data[[#This Row],[enquiry_status]]="Converted",1,0)</f>
        <v>0</v>
      </c>
      <c r="T408" t="s">
        <v>28</v>
      </c>
    </row>
    <row r="409" spans="1:20" x14ac:dyDescent="0.3">
      <c r="A409">
        <v>408</v>
      </c>
      <c r="B409" s="1">
        <v>46181.651631944442</v>
      </c>
      <c r="C409" s="1" t="str">
        <f>TEXT(enquiry_analysis_data[[#This Row],[enquiry_date]],"mmmm-yyyy")</f>
        <v>June-2026</v>
      </c>
      <c r="D409">
        <f>YEAR(enquiry_analysis_data[[#This Row],[enquiry_date]])</f>
        <v>2026</v>
      </c>
      <c r="E409">
        <f>MONTH(enquiry_analysis_data[[#This Row],[enquiry_date]])</f>
        <v>6</v>
      </c>
      <c r="F409" t="s">
        <v>670</v>
      </c>
      <c r="G409" t="s">
        <v>786</v>
      </c>
      <c r="H409" s="2">
        <v>9000000405</v>
      </c>
      <c r="I409" t="s">
        <v>77</v>
      </c>
      <c r="J409" t="s">
        <v>49</v>
      </c>
      <c r="K409" t="s">
        <v>20</v>
      </c>
      <c r="L409" t="s">
        <v>34</v>
      </c>
      <c r="M409" t="s">
        <v>35</v>
      </c>
      <c r="N409" t="s">
        <v>35</v>
      </c>
      <c r="O409" t="s">
        <v>24</v>
      </c>
      <c r="P409" t="s">
        <v>43</v>
      </c>
      <c r="Q409" t="s">
        <v>26</v>
      </c>
      <c r="R409" t="s">
        <v>45</v>
      </c>
      <c r="S409">
        <f>IF(enquiry_analysis_data[[#This Row],[enquiry_status]]="Converted",1,0)</f>
        <v>0</v>
      </c>
      <c r="T409" t="s">
        <v>28</v>
      </c>
    </row>
    <row r="410" spans="1:20" x14ac:dyDescent="0.3">
      <c r="A410">
        <v>407</v>
      </c>
      <c r="B410" s="1">
        <v>46184.148842592593</v>
      </c>
      <c r="C410" s="1" t="str">
        <f>TEXT(enquiry_analysis_data[[#This Row],[enquiry_date]],"mmmm-yyyy")</f>
        <v>June-2026</v>
      </c>
      <c r="D410">
        <f>YEAR(enquiry_analysis_data[[#This Row],[enquiry_date]])</f>
        <v>2026</v>
      </c>
      <c r="E410">
        <f>MONTH(enquiry_analysis_data[[#This Row],[enquiry_date]])</f>
        <v>6</v>
      </c>
      <c r="F410" t="s">
        <v>761</v>
      </c>
      <c r="G410" t="s">
        <v>787</v>
      </c>
      <c r="H410" s="2">
        <v>9000000404</v>
      </c>
      <c r="I410" t="s">
        <v>66</v>
      </c>
      <c r="J410" t="s">
        <v>32</v>
      </c>
      <c r="K410" t="s">
        <v>67</v>
      </c>
      <c r="L410" t="s">
        <v>40</v>
      </c>
      <c r="M410" t="s">
        <v>41</v>
      </c>
      <c r="N410" t="s">
        <v>41</v>
      </c>
      <c r="O410" t="s">
        <v>42</v>
      </c>
      <c r="P410" t="s">
        <v>25</v>
      </c>
      <c r="Q410" t="s">
        <v>83</v>
      </c>
      <c r="R410" t="s">
        <v>194</v>
      </c>
      <c r="S410">
        <f>IF(enquiry_analysis_data[[#This Row],[enquiry_status]]="Converted",1,0)</f>
        <v>0</v>
      </c>
      <c r="T410" t="s">
        <v>28</v>
      </c>
    </row>
    <row r="411" spans="1:20" x14ac:dyDescent="0.3">
      <c r="A411">
        <v>7</v>
      </c>
      <c r="B411" s="1">
        <v>46184.463391203702</v>
      </c>
      <c r="C411" s="1" t="str">
        <f>TEXT(enquiry_analysis_data[[#This Row],[enquiry_date]],"mmmm-yyyy")</f>
        <v>June-2026</v>
      </c>
      <c r="D411">
        <f>YEAR(enquiry_analysis_data[[#This Row],[enquiry_date]])</f>
        <v>2026</v>
      </c>
      <c r="E411">
        <f>MONTH(enquiry_analysis_data[[#This Row],[enquiry_date]])</f>
        <v>6</v>
      </c>
      <c r="F411" t="s">
        <v>375</v>
      </c>
      <c r="G411" t="s">
        <v>788</v>
      </c>
      <c r="H411" s="2">
        <v>9000000004</v>
      </c>
      <c r="I411" t="s">
        <v>93</v>
      </c>
      <c r="J411" t="s">
        <v>19</v>
      </c>
      <c r="K411" t="s">
        <v>33</v>
      </c>
      <c r="L411" t="s">
        <v>34</v>
      </c>
      <c r="M411" t="s">
        <v>35</v>
      </c>
      <c r="N411" t="s">
        <v>35</v>
      </c>
      <c r="O411" t="s">
        <v>42</v>
      </c>
      <c r="P411" t="s">
        <v>43</v>
      </c>
      <c r="Q411" t="s">
        <v>44</v>
      </c>
      <c r="R411" t="s">
        <v>45</v>
      </c>
      <c r="S411">
        <f>IF(enquiry_analysis_data[[#This Row],[enquiry_status]]="Converted",1,0)</f>
        <v>0</v>
      </c>
      <c r="T411" t="s">
        <v>28</v>
      </c>
    </row>
    <row r="412" spans="1:20" x14ac:dyDescent="0.3">
      <c r="A412">
        <v>102</v>
      </c>
      <c r="B412" s="1">
        <v>46185.287812499999</v>
      </c>
      <c r="C412" s="1" t="str">
        <f>TEXT(enquiry_analysis_data[[#This Row],[enquiry_date]],"mmmm-yyyy")</f>
        <v>June-2026</v>
      </c>
      <c r="D412">
        <f>YEAR(enquiry_analysis_data[[#This Row],[enquiry_date]])</f>
        <v>2026</v>
      </c>
      <c r="E412">
        <f>MONTH(enquiry_analysis_data[[#This Row],[enquiry_date]])</f>
        <v>6</v>
      </c>
      <c r="F412" t="s">
        <v>789</v>
      </c>
      <c r="G412" t="s">
        <v>790</v>
      </c>
      <c r="H412" s="2">
        <v>9000000099</v>
      </c>
      <c r="I412" t="s">
        <v>71</v>
      </c>
      <c r="J412" t="s">
        <v>49</v>
      </c>
      <c r="K412" t="s">
        <v>20</v>
      </c>
      <c r="L412" t="s">
        <v>154</v>
      </c>
      <c r="M412" t="s">
        <v>155</v>
      </c>
      <c r="N412" t="s">
        <v>156</v>
      </c>
      <c r="O412" t="s">
        <v>24</v>
      </c>
      <c r="P412" t="s">
        <v>25</v>
      </c>
      <c r="Q412" t="s">
        <v>53</v>
      </c>
      <c r="R412" t="s">
        <v>68</v>
      </c>
      <c r="S412">
        <f>IF(enquiry_analysis_data[[#This Row],[enquiry_status]]="Converted",1,0)</f>
        <v>1</v>
      </c>
      <c r="T412" t="s">
        <v>28</v>
      </c>
    </row>
    <row r="413" spans="1:20" x14ac:dyDescent="0.3">
      <c r="A413">
        <v>89</v>
      </c>
      <c r="B413" s="1">
        <v>46185.370844907404</v>
      </c>
      <c r="C413" s="1" t="str">
        <f>TEXT(enquiry_analysis_data[[#This Row],[enquiry_date]],"mmmm-yyyy")</f>
        <v>June-2026</v>
      </c>
      <c r="D413">
        <f>YEAR(enquiry_analysis_data[[#This Row],[enquiry_date]])</f>
        <v>2026</v>
      </c>
      <c r="E413">
        <f>MONTH(enquiry_analysis_data[[#This Row],[enquiry_date]])</f>
        <v>6</v>
      </c>
      <c r="F413" t="s">
        <v>203</v>
      </c>
      <c r="G413" t="s">
        <v>791</v>
      </c>
      <c r="H413" s="2">
        <v>9000000086</v>
      </c>
      <c r="I413" t="s">
        <v>59</v>
      </c>
      <c r="J413" t="s">
        <v>128</v>
      </c>
      <c r="K413" t="s">
        <v>20</v>
      </c>
      <c r="L413" t="s">
        <v>99</v>
      </c>
      <c r="M413" t="s">
        <v>100</v>
      </c>
      <c r="N413" t="s">
        <v>101</v>
      </c>
      <c r="O413" t="s">
        <v>42</v>
      </c>
      <c r="P413" t="s">
        <v>52</v>
      </c>
      <c r="Q413" t="s">
        <v>53</v>
      </c>
      <c r="R413" t="s">
        <v>68</v>
      </c>
      <c r="S413">
        <f>IF(enquiry_analysis_data[[#This Row],[enquiry_status]]="Converted",1,0)</f>
        <v>1</v>
      </c>
      <c r="T413" t="s">
        <v>28</v>
      </c>
    </row>
    <row r="414" spans="1:20" x14ac:dyDescent="0.3">
      <c r="A414">
        <v>392</v>
      </c>
      <c r="B414" s="1">
        <v>46185.427627314813</v>
      </c>
      <c r="C414" s="1" t="str">
        <f>TEXT(enquiry_analysis_data[[#This Row],[enquiry_date]],"mmmm-yyyy")</f>
        <v>June-2026</v>
      </c>
      <c r="D414">
        <f>YEAR(enquiry_analysis_data[[#This Row],[enquiry_date]])</f>
        <v>2026</v>
      </c>
      <c r="E414">
        <f>MONTH(enquiry_analysis_data[[#This Row],[enquiry_date]])</f>
        <v>6</v>
      </c>
      <c r="F414" t="s">
        <v>792</v>
      </c>
      <c r="G414" t="s">
        <v>793</v>
      </c>
      <c r="H414" s="2">
        <v>9000000389</v>
      </c>
      <c r="I414" t="s">
        <v>71</v>
      </c>
      <c r="J414" t="s">
        <v>104</v>
      </c>
      <c r="K414" t="s">
        <v>105</v>
      </c>
      <c r="L414" t="s">
        <v>144</v>
      </c>
      <c r="M414" t="s">
        <v>145</v>
      </c>
      <c r="N414" t="s">
        <v>101</v>
      </c>
      <c r="O414" t="s">
        <v>42</v>
      </c>
      <c r="P414" t="s">
        <v>52</v>
      </c>
      <c r="Q414" t="s">
        <v>141</v>
      </c>
      <c r="R414" t="s">
        <v>68</v>
      </c>
      <c r="S414">
        <f>IF(enquiry_analysis_data[[#This Row],[enquiry_status]]="Converted",1,0)</f>
        <v>1</v>
      </c>
      <c r="T414" t="s">
        <v>28</v>
      </c>
    </row>
    <row r="415" spans="1:20" x14ac:dyDescent="0.3">
      <c r="A415">
        <v>18</v>
      </c>
      <c r="B415" s="1">
        <v>46185.88009259259</v>
      </c>
      <c r="C415" s="1" t="str">
        <f>TEXT(enquiry_analysis_data[[#This Row],[enquiry_date]],"mmmm-yyyy")</f>
        <v>June-2026</v>
      </c>
      <c r="D415">
        <f>YEAR(enquiry_analysis_data[[#This Row],[enquiry_date]])</f>
        <v>2026</v>
      </c>
      <c r="E415">
        <f>MONTH(enquiry_analysis_data[[#This Row],[enquiry_date]])</f>
        <v>6</v>
      </c>
      <c r="F415" t="s">
        <v>449</v>
      </c>
      <c r="G415" t="s">
        <v>794</v>
      </c>
      <c r="H415" s="2">
        <v>9000000015</v>
      </c>
      <c r="I415" t="s">
        <v>71</v>
      </c>
      <c r="J415" t="s">
        <v>19</v>
      </c>
      <c r="K415" t="s">
        <v>33</v>
      </c>
      <c r="L415" t="s">
        <v>99</v>
      </c>
      <c r="M415" t="s">
        <v>100</v>
      </c>
      <c r="N415" t="s">
        <v>101</v>
      </c>
      <c r="O415" t="s">
        <v>42</v>
      </c>
      <c r="P415" t="s">
        <v>36</v>
      </c>
      <c r="Q415" t="s">
        <v>37</v>
      </c>
      <c r="R415" t="s">
        <v>194</v>
      </c>
      <c r="S415">
        <f>IF(enquiry_analysis_data[[#This Row],[enquiry_status]]="Converted",1,0)</f>
        <v>0</v>
      </c>
      <c r="T415" t="s">
        <v>28</v>
      </c>
    </row>
    <row r="416" spans="1:20" x14ac:dyDescent="0.3">
      <c r="A416">
        <v>240</v>
      </c>
      <c r="B416" s="1">
        <v>46186.533194444448</v>
      </c>
      <c r="C416" s="1" t="str">
        <f>TEXT(enquiry_analysis_data[[#This Row],[enquiry_date]],"mmmm-yyyy")</f>
        <v>June-2026</v>
      </c>
      <c r="D416">
        <f>YEAR(enquiry_analysis_data[[#This Row],[enquiry_date]])</f>
        <v>2026</v>
      </c>
      <c r="E416">
        <f>MONTH(enquiry_analysis_data[[#This Row],[enquiry_date]])</f>
        <v>6</v>
      </c>
      <c r="F416" t="s">
        <v>184</v>
      </c>
      <c r="G416" t="s">
        <v>795</v>
      </c>
      <c r="H416" s="2">
        <v>9000000237</v>
      </c>
      <c r="I416" t="s">
        <v>123</v>
      </c>
      <c r="J416" t="s">
        <v>49</v>
      </c>
      <c r="K416" t="s">
        <v>33</v>
      </c>
      <c r="L416" t="s">
        <v>154</v>
      </c>
      <c r="M416" t="s">
        <v>155</v>
      </c>
      <c r="N416" t="s">
        <v>156</v>
      </c>
      <c r="O416" t="s">
        <v>42</v>
      </c>
      <c r="P416" t="s">
        <v>52</v>
      </c>
      <c r="Q416" t="s">
        <v>37</v>
      </c>
      <c r="R416" t="s">
        <v>27</v>
      </c>
      <c r="S416">
        <f>IF(enquiry_analysis_data[[#This Row],[enquiry_status]]="Converted",1,0)</f>
        <v>0</v>
      </c>
      <c r="T416" t="s">
        <v>28</v>
      </c>
    </row>
    <row r="417" spans="1:20" x14ac:dyDescent="0.3">
      <c r="A417">
        <v>317</v>
      </c>
      <c r="B417" s="1">
        <v>46187.088576388887</v>
      </c>
      <c r="C417" s="1" t="str">
        <f>TEXT(enquiry_analysis_data[[#This Row],[enquiry_date]],"mmmm-yyyy")</f>
        <v>June-2026</v>
      </c>
      <c r="D417">
        <f>YEAR(enquiry_analysis_data[[#This Row],[enquiry_date]])</f>
        <v>2026</v>
      </c>
      <c r="E417">
        <f>MONTH(enquiry_analysis_data[[#This Row],[enquiry_date]])</f>
        <v>6</v>
      </c>
      <c r="F417" t="s">
        <v>755</v>
      </c>
      <c r="G417" t="s">
        <v>796</v>
      </c>
      <c r="H417" s="2">
        <v>9000000314</v>
      </c>
      <c r="I417" t="s">
        <v>71</v>
      </c>
      <c r="J417" t="s">
        <v>128</v>
      </c>
      <c r="K417" t="s">
        <v>20</v>
      </c>
      <c r="L417" t="s">
        <v>50</v>
      </c>
      <c r="M417" t="s">
        <v>51</v>
      </c>
      <c r="N417" t="s">
        <v>23</v>
      </c>
      <c r="O417" t="s">
        <v>42</v>
      </c>
      <c r="P417" t="s">
        <v>52</v>
      </c>
      <c r="Q417" t="s">
        <v>63</v>
      </c>
      <c r="R417" t="s">
        <v>68</v>
      </c>
      <c r="S417">
        <f>IF(enquiry_analysis_data[[#This Row],[enquiry_status]]="Converted",1,0)</f>
        <v>1</v>
      </c>
      <c r="T417" t="s">
        <v>28</v>
      </c>
    </row>
    <row r="418" spans="1:20" x14ac:dyDescent="0.3">
      <c r="A418">
        <v>25</v>
      </c>
      <c r="B418" s="1">
        <v>46189.854699074072</v>
      </c>
      <c r="C418" s="1" t="str">
        <f>TEXT(enquiry_analysis_data[[#This Row],[enquiry_date]],"mmmm-yyyy")</f>
        <v>June-2026</v>
      </c>
      <c r="D418">
        <f>YEAR(enquiry_analysis_data[[#This Row],[enquiry_date]])</f>
        <v>2026</v>
      </c>
      <c r="E418">
        <f>MONTH(enquiry_analysis_data[[#This Row],[enquiry_date]])</f>
        <v>6</v>
      </c>
      <c r="F418" t="s">
        <v>223</v>
      </c>
      <c r="G418" t="s">
        <v>797</v>
      </c>
      <c r="H418" s="2">
        <v>9000000022</v>
      </c>
      <c r="I418" t="s">
        <v>59</v>
      </c>
      <c r="J418" t="s">
        <v>32</v>
      </c>
      <c r="K418" t="s">
        <v>67</v>
      </c>
      <c r="L418" t="s">
        <v>106</v>
      </c>
      <c r="M418" t="s">
        <v>107</v>
      </c>
      <c r="N418" t="s">
        <v>108</v>
      </c>
      <c r="O418" t="s">
        <v>24</v>
      </c>
      <c r="P418" t="s">
        <v>25</v>
      </c>
      <c r="Q418" t="s">
        <v>44</v>
      </c>
      <c r="R418" t="s">
        <v>68</v>
      </c>
      <c r="S418">
        <f>IF(enquiry_analysis_data[[#This Row],[enquiry_status]]="Converted",1,0)</f>
        <v>1</v>
      </c>
      <c r="T418" t="s">
        <v>28</v>
      </c>
    </row>
    <row r="419" spans="1:20" x14ac:dyDescent="0.3">
      <c r="A419">
        <v>104</v>
      </c>
      <c r="B419" s="1">
        <v>46190.752129629633</v>
      </c>
      <c r="C419" s="1" t="str">
        <f>TEXT(enquiry_analysis_data[[#This Row],[enquiry_date]],"mmmm-yyyy")</f>
        <v>June-2026</v>
      </c>
      <c r="D419">
        <f>YEAR(enquiry_analysis_data[[#This Row],[enquiry_date]])</f>
        <v>2026</v>
      </c>
      <c r="E419">
        <f>MONTH(enquiry_analysis_data[[#This Row],[enquiry_date]])</f>
        <v>6</v>
      </c>
      <c r="F419" t="s">
        <v>798</v>
      </c>
      <c r="G419" t="s">
        <v>799</v>
      </c>
      <c r="H419" s="2">
        <v>9000000101</v>
      </c>
      <c r="I419" t="s">
        <v>18</v>
      </c>
      <c r="J419" t="s">
        <v>128</v>
      </c>
      <c r="K419" t="s">
        <v>67</v>
      </c>
      <c r="L419" t="s">
        <v>117</v>
      </c>
      <c r="M419" t="s">
        <v>118</v>
      </c>
      <c r="N419" t="s">
        <v>119</v>
      </c>
      <c r="O419" t="s">
        <v>42</v>
      </c>
      <c r="P419" t="s">
        <v>25</v>
      </c>
      <c r="Q419" t="s">
        <v>53</v>
      </c>
      <c r="R419" t="s">
        <v>56</v>
      </c>
      <c r="S419">
        <f>IF(enquiry_analysis_data[[#This Row],[enquiry_status]]="Converted",1,0)</f>
        <v>0</v>
      </c>
      <c r="T419" t="s">
        <v>28</v>
      </c>
    </row>
    <row r="420" spans="1:20" x14ac:dyDescent="0.3">
      <c r="A420">
        <v>323</v>
      </c>
      <c r="B420" s="1">
        <v>46191.812905092593</v>
      </c>
      <c r="C420" s="1" t="str">
        <f>TEXT(enquiry_analysis_data[[#This Row],[enquiry_date]],"mmmm-yyyy")</f>
        <v>June-2026</v>
      </c>
      <c r="D420">
        <f>YEAR(enquiry_analysis_data[[#This Row],[enquiry_date]])</f>
        <v>2026</v>
      </c>
      <c r="E420">
        <f>MONTH(enquiry_analysis_data[[#This Row],[enquiry_date]])</f>
        <v>6</v>
      </c>
      <c r="F420" t="s">
        <v>800</v>
      </c>
      <c r="G420" t="s">
        <v>801</v>
      </c>
      <c r="H420" s="2">
        <v>9000000320</v>
      </c>
      <c r="I420" t="s">
        <v>93</v>
      </c>
      <c r="J420" t="s">
        <v>19</v>
      </c>
      <c r="K420" t="s">
        <v>33</v>
      </c>
      <c r="L420" t="s">
        <v>34</v>
      </c>
      <c r="M420" t="s">
        <v>35</v>
      </c>
      <c r="N420" t="s">
        <v>35</v>
      </c>
      <c r="O420" t="s">
        <v>42</v>
      </c>
      <c r="P420" t="s">
        <v>25</v>
      </c>
      <c r="Q420" t="s">
        <v>141</v>
      </c>
      <c r="R420" t="s">
        <v>56</v>
      </c>
      <c r="S420">
        <f>IF(enquiry_analysis_data[[#This Row],[enquiry_status]]="Converted",1,0)</f>
        <v>0</v>
      </c>
      <c r="T420" t="s">
        <v>28</v>
      </c>
    </row>
    <row r="421" spans="1:20" x14ac:dyDescent="0.3">
      <c r="A421">
        <v>230</v>
      </c>
      <c r="B421" s="1">
        <v>46193.640879629631</v>
      </c>
      <c r="C421" s="1" t="str">
        <f>TEXT(enquiry_analysis_data[[#This Row],[enquiry_date]],"mmmm-yyyy")</f>
        <v>June-2026</v>
      </c>
      <c r="D421">
        <f>YEAR(enquiry_analysis_data[[#This Row],[enquiry_date]])</f>
        <v>2026</v>
      </c>
      <c r="E421">
        <f>MONTH(enquiry_analysis_data[[#This Row],[enquiry_date]])</f>
        <v>6</v>
      </c>
      <c r="F421" t="s">
        <v>802</v>
      </c>
      <c r="G421" t="s">
        <v>803</v>
      </c>
      <c r="H421" s="2">
        <v>9000000227</v>
      </c>
      <c r="I421" t="s">
        <v>77</v>
      </c>
      <c r="J421" t="s">
        <v>32</v>
      </c>
      <c r="K421" t="s">
        <v>67</v>
      </c>
      <c r="L421" t="s">
        <v>72</v>
      </c>
      <c r="M421" t="s">
        <v>73</v>
      </c>
      <c r="N421" t="s">
        <v>74</v>
      </c>
      <c r="O421" t="s">
        <v>42</v>
      </c>
      <c r="P421" t="s">
        <v>36</v>
      </c>
      <c r="Q421" t="s">
        <v>138</v>
      </c>
      <c r="R421" t="s">
        <v>114</v>
      </c>
      <c r="S421">
        <f>IF(enquiry_analysis_data[[#This Row],[enquiry_status]]="Converted",1,0)</f>
        <v>0</v>
      </c>
      <c r="T421" t="s">
        <v>28</v>
      </c>
    </row>
    <row r="422" spans="1:20" x14ac:dyDescent="0.3">
      <c r="A422">
        <v>347</v>
      </c>
      <c r="B422" s="1">
        <v>46195.725694444445</v>
      </c>
      <c r="C422" s="1" t="str">
        <f>TEXT(enquiry_analysis_data[[#This Row],[enquiry_date]],"mmmm-yyyy")</f>
        <v>June-2026</v>
      </c>
      <c r="D422">
        <f>YEAR(enquiry_analysis_data[[#This Row],[enquiry_date]])</f>
        <v>2026</v>
      </c>
      <c r="E422">
        <f>MONTH(enquiry_analysis_data[[#This Row],[enquiry_date]])</f>
        <v>6</v>
      </c>
      <c r="F422" t="s">
        <v>639</v>
      </c>
      <c r="G422" t="s">
        <v>804</v>
      </c>
      <c r="H422" s="2">
        <v>9000000344</v>
      </c>
      <c r="I422" t="s">
        <v>59</v>
      </c>
      <c r="J422" t="s">
        <v>128</v>
      </c>
      <c r="K422" t="s">
        <v>94</v>
      </c>
      <c r="L422" t="s">
        <v>78</v>
      </c>
      <c r="M422" t="s">
        <v>79</v>
      </c>
      <c r="N422" t="s">
        <v>80</v>
      </c>
      <c r="O422" t="s">
        <v>24</v>
      </c>
      <c r="P422" t="s">
        <v>52</v>
      </c>
      <c r="Q422" t="s">
        <v>26</v>
      </c>
      <c r="R422" t="s">
        <v>68</v>
      </c>
      <c r="S422">
        <f>IF(enquiry_analysis_data[[#This Row],[enquiry_status]]="Converted",1,0)</f>
        <v>1</v>
      </c>
      <c r="T422" t="s">
        <v>28</v>
      </c>
    </row>
    <row r="423" spans="1:20" x14ac:dyDescent="0.3">
      <c r="A423">
        <v>348</v>
      </c>
      <c r="B423" s="1">
        <v>46196.267708333333</v>
      </c>
      <c r="C423" s="1" t="str">
        <f>TEXT(enquiry_analysis_data[[#This Row],[enquiry_date]],"mmmm-yyyy")</f>
        <v>June-2026</v>
      </c>
      <c r="D423">
        <f>YEAR(enquiry_analysis_data[[#This Row],[enquiry_date]])</f>
        <v>2026</v>
      </c>
      <c r="E423">
        <f>MONTH(enquiry_analysis_data[[#This Row],[enquiry_date]])</f>
        <v>6</v>
      </c>
      <c r="F423" t="s">
        <v>805</v>
      </c>
      <c r="G423" t="s">
        <v>806</v>
      </c>
      <c r="H423" s="2">
        <v>9000000345</v>
      </c>
      <c r="I423" t="s">
        <v>66</v>
      </c>
      <c r="J423" t="s">
        <v>19</v>
      </c>
      <c r="K423" t="s">
        <v>33</v>
      </c>
      <c r="L423" t="s">
        <v>72</v>
      </c>
      <c r="M423" t="s">
        <v>73</v>
      </c>
      <c r="N423" t="s">
        <v>74</v>
      </c>
      <c r="O423" t="s">
        <v>42</v>
      </c>
      <c r="P423" t="s">
        <v>25</v>
      </c>
      <c r="Q423" t="s">
        <v>83</v>
      </c>
      <c r="R423" t="s">
        <v>194</v>
      </c>
      <c r="S423">
        <f>IF(enquiry_analysis_data[[#This Row],[enquiry_status]]="Converted",1,0)</f>
        <v>0</v>
      </c>
      <c r="T423" t="s">
        <v>28</v>
      </c>
    </row>
    <row r="424" spans="1:20" x14ac:dyDescent="0.3">
      <c r="A424">
        <v>210</v>
      </c>
      <c r="B424" s="1">
        <v>46196.516064814816</v>
      </c>
      <c r="C424" s="1" t="str">
        <f>TEXT(enquiry_analysis_data[[#This Row],[enquiry_date]],"mmmm-yyyy")</f>
        <v>June-2026</v>
      </c>
      <c r="D424">
        <f>YEAR(enquiry_analysis_data[[#This Row],[enquiry_date]])</f>
        <v>2026</v>
      </c>
      <c r="E424">
        <f>MONTH(enquiry_analysis_data[[#This Row],[enquiry_date]])</f>
        <v>6</v>
      </c>
      <c r="F424" t="s">
        <v>451</v>
      </c>
      <c r="G424" t="s">
        <v>807</v>
      </c>
      <c r="H424" s="2">
        <v>9000000207</v>
      </c>
      <c r="I424" t="s">
        <v>88</v>
      </c>
      <c r="J424" t="s">
        <v>32</v>
      </c>
      <c r="K424" t="s">
        <v>67</v>
      </c>
      <c r="L424" t="s">
        <v>106</v>
      </c>
      <c r="M424" t="s">
        <v>107</v>
      </c>
      <c r="N424" t="s">
        <v>108</v>
      </c>
      <c r="O424" t="s">
        <v>42</v>
      </c>
      <c r="P424" t="s">
        <v>43</v>
      </c>
      <c r="Q424" t="s">
        <v>53</v>
      </c>
      <c r="R424" t="s">
        <v>27</v>
      </c>
      <c r="S424">
        <f>IF(enquiry_analysis_data[[#This Row],[enquiry_status]]="Converted",1,0)</f>
        <v>0</v>
      </c>
      <c r="T424" t="s">
        <v>28</v>
      </c>
    </row>
    <row r="425" spans="1:20" x14ac:dyDescent="0.3">
      <c r="A425">
        <v>234</v>
      </c>
      <c r="B425" s="1">
        <v>46197.967245370368</v>
      </c>
      <c r="C425" s="1" t="str">
        <f>TEXT(enquiry_analysis_data[[#This Row],[enquiry_date]],"mmmm-yyyy")</f>
        <v>June-2026</v>
      </c>
      <c r="D425">
        <f>YEAR(enquiry_analysis_data[[#This Row],[enquiry_date]])</f>
        <v>2026</v>
      </c>
      <c r="E425">
        <f>MONTH(enquiry_analysis_data[[#This Row],[enquiry_date]])</f>
        <v>6</v>
      </c>
      <c r="F425" t="s">
        <v>808</v>
      </c>
      <c r="G425" t="s">
        <v>809</v>
      </c>
      <c r="H425" s="2">
        <v>9000000231</v>
      </c>
      <c r="I425" t="s">
        <v>77</v>
      </c>
      <c r="J425" t="s">
        <v>19</v>
      </c>
      <c r="K425" t="s">
        <v>33</v>
      </c>
      <c r="L425" t="s">
        <v>60</v>
      </c>
      <c r="M425" t="s">
        <v>61</v>
      </c>
      <c r="N425" t="s">
        <v>62</v>
      </c>
      <c r="O425" t="s">
        <v>42</v>
      </c>
      <c r="P425" t="s">
        <v>25</v>
      </c>
      <c r="Q425" t="s">
        <v>138</v>
      </c>
      <c r="R425" t="s">
        <v>194</v>
      </c>
      <c r="S425">
        <f>IF(enquiry_analysis_data[[#This Row],[enquiry_status]]="Converted",1,0)</f>
        <v>0</v>
      </c>
      <c r="T425" t="s">
        <v>28</v>
      </c>
    </row>
    <row r="426" spans="1:20" x14ac:dyDescent="0.3">
      <c r="A426">
        <v>113</v>
      </c>
      <c r="B426" s="1">
        <v>46199.030092592591</v>
      </c>
      <c r="C426" s="1" t="str">
        <f>TEXT(enquiry_analysis_data[[#This Row],[enquiry_date]],"mmmm-yyyy")</f>
        <v>June-2026</v>
      </c>
      <c r="D426">
        <f>YEAR(enquiry_analysis_data[[#This Row],[enquiry_date]])</f>
        <v>2026</v>
      </c>
      <c r="E426">
        <f>MONTH(enquiry_analysis_data[[#This Row],[enquiry_date]])</f>
        <v>6</v>
      </c>
      <c r="F426" t="s">
        <v>323</v>
      </c>
      <c r="G426" t="s">
        <v>810</v>
      </c>
      <c r="H426" s="2">
        <v>9000000110</v>
      </c>
      <c r="I426" t="s">
        <v>93</v>
      </c>
      <c r="J426" t="s">
        <v>32</v>
      </c>
      <c r="K426" t="s">
        <v>94</v>
      </c>
      <c r="L426" t="s">
        <v>245</v>
      </c>
      <c r="M426" t="s">
        <v>246</v>
      </c>
      <c r="N426" t="s">
        <v>156</v>
      </c>
      <c r="O426" t="s">
        <v>42</v>
      </c>
      <c r="P426" t="s">
        <v>43</v>
      </c>
      <c r="Q426" t="s">
        <v>138</v>
      </c>
      <c r="R426" t="s">
        <v>68</v>
      </c>
      <c r="S426">
        <f>IF(enquiry_analysis_data[[#This Row],[enquiry_status]]="Converted",1,0)</f>
        <v>1</v>
      </c>
      <c r="T426" t="s">
        <v>28</v>
      </c>
    </row>
    <row r="427" spans="1:20" x14ac:dyDescent="0.3">
      <c r="A427">
        <v>48</v>
      </c>
      <c r="B427" s="1">
        <v>46200.721828703703</v>
      </c>
      <c r="C427" s="1" t="str">
        <f>TEXT(enquiry_analysis_data[[#This Row],[enquiry_date]],"mmmm-yyyy")</f>
        <v>June-2026</v>
      </c>
      <c r="D427">
        <f>YEAR(enquiry_analysis_data[[#This Row],[enquiry_date]])</f>
        <v>2026</v>
      </c>
      <c r="E427">
        <f>MONTH(enquiry_analysis_data[[#This Row],[enquiry_date]])</f>
        <v>6</v>
      </c>
      <c r="F427" t="s">
        <v>811</v>
      </c>
      <c r="G427" t="s">
        <v>812</v>
      </c>
      <c r="H427" s="2">
        <v>9000000045</v>
      </c>
      <c r="I427" t="s">
        <v>123</v>
      </c>
      <c r="J427" t="s">
        <v>49</v>
      </c>
      <c r="K427" t="s">
        <v>20</v>
      </c>
      <c r="L427" t="s">
        <v>111</v>
      </c>
      <c r="M427" t="s">
        <v>112</v>
      </c>
      <c r="N427" t="s">
        <v>113</v>
      </c>
      <c r="O427" t="s">
        <v>24</v>
      </c>
      <c r="P427" t="s">
        <v>36</v>
      </c>
      <c r="Q427" t="s">
        <v>26</v>
      </c>
      <c r="R427" t="s">
        <v>68</v>
      </c>
      <c r="S427">
        <f>IF(enquiry_analysis_data[[#This Row],[enquiry_status]]="Converted",1,0)</f>
        <v>1</v>
      </c>
      <c r="T427" t="s">
        <v>28</v>
      </c>
    </row>
    <row r="428" spans="1:20" x14ac:dyDescent="0.3">
      <c r="A428">
        <v>239</v>
      </c>
      <c r="B428" s="1">
        <v>46201.647164351853</v>
      </c>
      <c r="C428" s="1" t="str">
        <f>TEXT(enquiry_analysis_data[[#This Row],[enquiry_date]],"mmmm-yyyy")</f>
        <v>June-2026</v>
      </c>
      <c r="D428">
        <f>YEAR(enquiry_analysis_data[[#This Row],[enquiry_date]])</f>
        <v>2026</v>
      </c>
      <c r="E428">
        <f>MONTH(enquiry_analysis_data[[#This Row],[enquiry_date]])</f>
        <v>6</v>
      </c>
      <c r="F428" t="s">
        <v>615</v>
      </c>
      <c r="G428" t="s">
        <v>813</v>
      </c>
      <c r="H428" s="2">
        <v>9000000236</v>
      </c>
      <c r="I428" t="s">
        <v>66</v>
      </c>
      <c r="J428" t="s">
        <v>19</v>
      </c>
      <c r="K428" t="s">
        <v>33</v>
      </c>
      <c r="L428" t="s">
        <v>117</v>
      </c>
      <c r="M428" t="s">
        <v>118</v>
      </c>
      <c r="N428" t="s">
        <v>119</v>
      </c>
      <c r="O428" t="s">
        <v>42</v>
      </c>
      <c r="P428" t="s">
        <v>52</v>
      </c>
      <c r="Q428" t="s">
        <v>53</v>
      </c>
      <c r="R428" t="s">
        <v>68</v>
      </c>
      <c r="S428">
        <f>IF(enquiry_analysis_data[[#This Row],[enquiry_status]]="Converted",1,0)</f>
        <v>1</v>
      </c>
      <c r="T428" t="s">
        <v>28</v>
      </c>
    </row>
    <row r="429" spans="1:20" x14ac:dyDescent="0.3">
      <c r="A429">
        <v>298</v>
      </c>
      <c r="B429" s="1">
        <v>46202.40116898148</v>
      </c>
      <c r="C429" s="1" t="str">
        <f>TEXT(enquiry_analysis_data[[#This Row],[enquiry_date]],"mmmm-yyyy")</f>
        <v>June-2026</v>
      </c>
      <c r="D429">
        <f>YEAR(enquiry_analysis_data[[#This Row],[enquiry_date]])</f>
        <v>2026</v>
      </c>
      <c r="E429">
        <f>MONTH(enquiry_analysis_data[[#This Row],[enquiry_date]])</f>
        <v>6</v>
      </c>
      <c r="F429" t="s">
        <v>814</v>
      </c>
      <c r="G429" t="s">
        <v>815</v>
      </c>
      <c r="H429" s="2">
        <v>9000000295</v>
      </c>
      <c r="I429" t="s">
        <v>59</v>
      </c>
      <c r="J429" t="s">
        <v>19</v>
      </c>
      <c r="K429" t="s">
        <v>67</v>
      </c>
      <c r="L429" t="s">
        <v>144</v>
      </c>
      <c r="M429" t="s">
        <v>145</v>
      </c>
      <c r="N429" t="s">
        <v>101</v>
      </c>
      <c r="O429" t="s">
        <v>42</v>
      </c>
      <c r="P429" t="s">
        <v>52</v>
      </c>
      <c r="Q429" t="s">
        <v>26</v>
      </c>
      <c r="R429" t="s">
        <v>56</v>
      </c>
      <c r="S429">
        <f>IF(enquiry_analysis_data[[#This Row],[enquiry_status]]="Converted",1,0)</f>
        <v>0</v>
      </c>
      <c r="T429" t="s">
        <v>28</v>
      </c>
    </row>
    <row r="430" spans="1:20" x14ac:dyDescent="0.3">
      <c r="A430">
        <v>212</v>
      </c>
      <c r="B430" s="1">
        <v>46203.350451388891</v>
      </c>
      <c r="C430" s="1" t="str">
        <f>TEXT(enquiry_analysis_data[[#This Row],[enquiry_date]],"mmmm-yyyy")</f>
        <v>June-2026</v>
      </c>
      <c r="D430">
        <f>YEAR(enquiry_analysis_data[[#This Row],[enquiry_date]])</f>
        <v>2026</v>
      </c>
      <c r="E430">
        <f>MONTH(enquiry_analysis_data[[#This Row],[enquiry_date]])</f>
        <v>6</v>
      </c>
      <c r="F430" t="s">
        <v>816</v>
      </c>
      <c r="G430" t="s">
        <v>817</v>
      </c>
      <c r="H430" s="2">
        <v>9000000209</v>
      </c>
      <c r="I430" t="s">
        <v>18</v>
      </c>
      <c r="J430" t="s">
        <v>19</v>
      </c>
      <c r="K430" t="s">
        <v>67</v>
      </c>
      <c r="L430" t="s">
        <v>136</v>
      </c>
      <c r="M430" t="s">
        <v>137</v>
      </c>
      <c r="N430" t="s">
        <v>62</v>
      </c>
      <c r="O430" t="s">
        <v>24</v>
      </c>
      <c r="P430" t="s">
        <v>52</v>
      </c>
      <c r="Q430" t="s">
        <v>141</v>
      </c>
      <c r="R430" t="s">
        <v>56</v>
      </c>
      <c r="S430">
        <f>IF(enquiry_analysis_data[[#This Row],[enquiry_status]]="Converted",1,0)</f>
        <v>0</v>
      </c>
      <c r="T430" t="s">
        <v>28</v>
      </c>
    </row>
    <row r="431" spans="1:20" x14ac:dyDescent="0.3">
      <c r="A431">
        <v>365</v>
      </c>
      <c r="B431" s="1">
        <v>46204.211516203701</v>
      </c>
      <c r="C431" s="1" t="str">
        <f>TEXT(enquiry_analysis_data[[#This Row],[enquiry_date]],"mmmm-yyyy")</f>
        <v>July-2026</v>
      </c>
      <c r="D431">
        <f>YEAR(enquiry_analysis_data[[#This Row],[enquiry_date]])</f>
        <v>2026</v>
      </c>
      <c r="E431">
        <f>MONTH(enquiry_analysis_data[[#This Row],[enquiry_date]])</f>
        <v>7</v>
      </c>
      <c r="F431" t="s">
        <v>818</v>
      </c>
      <c r="G431" t="s">
        <v>819</v>
      </c>
      <c r="H431" s="2">
        <v>9000000362</v>
      </c>
      <c r="I431" t="s">
        <v>71</v>
      </c>
      <c r="J431" t="s">
        <v>128</v>
      </c>
      <c r="K431" t="s">
        <v>20</v>
      </c>
      <c r="L431" t="s">
        <v>154</v>
      </c>
      <c r="M431" t="s">
        <v>155</v>
      </c>
      <c r="N431" t="s">
        <v>156</v>
      </c>
      <c r="O431" t="s">
        <v>24</v>
      </c>
      <c r="P431" t="s">
        <v>36</v>
      </c>
      <c r="Q431" t="s">
        <v>53</v>
      </c>
      <c r="R431" t="s">
        <v>56</v>
      </c>
      <c r="S431">
        <f>IF(enquiry_analysis_data[[#This Row],[enquiry_status]]="Converted",1,0)</f>
        <v>0</v>
      </c>
      <c r="T431" t="s">
        <v>28</v>
      </c>
    </row>
    <row r="432" spans="1:20" x14ac:dyDescent="0.3">
      <c r="A432">
        <v>91</v>
      </c>
      <c r="B432" s="1">
        <v>46204.932627314818</v>
      </c>
      <c r="C432" s="1" t="str">
        <f>TEXT(enquiry_analysis_data[[#This Row],[enquiry_date]],"mmmm-yyyy")</f>
        <v>July-2026</v>
      </c>
      <c r="D432">
        <f>YEAR(enquiry_analysis_data[[#This Row],[enquiry_date]])</f>
        <v>2026</v>
      </c>
      <c r="E432">
        <f>MONTH(enquiry_analysis_data[[#This Row],[enquiry_date]])</f>
        <v>7</v>
      </c>
      <c r="F432" t="s">
        <v>325</v>
      </c>
      <c r="G432" t="s">
        <v>820</v>
      </c>
      <c r="H432" s="2">
        <v>9000000088</v>
      </c>
      <c r="I432" t="s">
        <v>66</v>
      </c>
      <c r="J432" t="s">
        <v>128</v>
      </c>
      <c r="K432" t="s">
        <v>20</v>
      </c>
      <c r="L432" t="s">
        <v>154</v>
      </c>
      <c r="M432" t="s">
        <v>155</v>
      </c>
      <c r="N432" t="s">
        <v>156</v>
      </c>
      <c r="O432" t="s">
        <v>42</v>
      </c>
      <c r="P432" t="s">
        <v>52</v>
      </c>
      <c r="Q432" t="s">
        <v>26</v>
      </c>
      <c r="R432" t="s">
        <v>27</v>
      </c>
      <c r="S432">
        <f>IF(enquiry_analysis_data[[#This Row],[enquiry_status]]="Converted",1,0)</f>
        <v>0</v>
      </c>
      <c r="T432" t="s">
        <v>28</v>
      </c>
    </row>
    <row r="433" spans="1:20" x14ac:dyDescent="0.3">
      <c r="A433">
        <v>185</v>
      </c>
      <c r="B433" s="1">
        <v>46205.008217592593</v>
      </c>
      <c r="C433" s="1" t="str">
        <f>TEXT(enquiry_analysis_data[[#This Row],[enquiry_date]],"mmmm-yyyy")</f>
        <v>July-2026</v>
      </c>
      <c r="D433">
        <f>YEAR(enquiry_analysis_data[[#This Row],[enquiry_date]])</f>
        <v>2026</v>
      </c>
      <c r="E433">
        <f>MONTH(enquiry_analysis_data[[#This Row],[enquiry_date]])</f>
        <v>7</v>
      </c>
      <c r="F433" t="s">
        <v>755</v>
      </c>
      <c r="G433" t="s">
        <v>821</v>
      </c>
      <c r="H433" s="2">
        <v>9000000182</v>
      </c>
      <c r="I433" t="s">
        <v>66</v>
      </c>
      <c r="J433" t="s">
        <v>49</v>
      </c>
      <c r="K433" t="s">
        <v>20</v>
      </c>
      <c r="L433" t="s">
        <v>72</v>
      </c>
      <c r="M433" t="s">
        <v>73</v>
      </c>
      <c r="N433" t="s">
        <v>74</v>
      </c>
      <c r="O433" t="s">
        <v>24</v>
      </c>
      <c r="P433" t="s">
        <v>25</v>
      </c>
      <c r="Q433" t="s">
        <v>141</v>
      </c>
      <c r="R433" t="s">
        <v>45</v>
      </c>
      <c r="S433">
        <f>IF(enquiry_analysis_data[[#This Row],[enquiry_status]]="Converted",1,0)</f>
        <v>0</v>
      </c>
      <c r="T433" t="s">
        <v>28</v>
      </c>
    </row>
    <row r="434" spans="1:20" x14ac:dyDescent="0.3">
      <c r="A434">
        <v>191</v>
      </c>
      <c r="B434" s="1">
        <v>46207.649837962963</v>
      </c>
      <c r="C434" s="1" t="str">
        <f>TEXT(enquiry_analysis_data[[#This Row],[enquiry_date]],"mmmm-yyyy")</f>
        <v>July-2026</v>
      </c>
      <c r="D434">
        <f>YEAR(enquiry_analysis_data[[#This Row],[enquiry_date]])</f>
        <v>2026</v>
      </c>
      <c r="E434">
        <f>MONTH(enquiry_analysis_data[[#This Row],[enquiry_date]])</f>
        <v>7</v>
      </c>
      <c r="F434" t="s">
        <v>822</v>
      </c>
      <c r="G434" t="s">
        <v>823</v>
      </c>
      <c r="H434" s="2">
        <v>9000000188</v>
      </c>
      <c r="I434" t="s">
        <v>93</v>
      </c>
      <c r="J434" t="s">
        <v>49</v>
      </c>
      <c r="K434" t="s">
        <v>33</v>
      </c>
      <c r="L434" t="s">
        <v>50</v>
      </c>
      <c r="M434" t="s">
        <v>51</v>
      </c>
      <c r="N434" t="s">
        <v>23</v>
      </c>
      <c r="O434" t="s">
        <v>42</v>
      </c>
      <c r="P434" t="s">
        <v>25</v>
      </c>
      <c r="Q434" t="s">
        <v>53</v>
      </c>
      <c r="R434" t="s">
        <v>194</v>
      </c>
      <c r="S434">
        <f>IF(enquiry_analysis_data[[#This Row],[enquiry_status]]="Converted",1,0)</f>
        <v>0</v>
      </c>
      <c r="T434" t="s">
        <v>28</v>
      </c>
    </row>
    <row r="435" spans="1:20" x14ac:dyDescent="0.3">
      <c r="A435">
        <v>351</v>
      </c>
      <c r="B435" s="1">
        <v>46209.944328703707</v>
      </c>
      <c r="C435" s="1" t="str">
        <f>TEXT(enquiry_analysis_data[[#This Row],[enquiry_date]],"mmmm-yyyy")</f>
        <v>July-2026</v>
      </c>
      <c r="D435">
        <f>YEAR(enquiry_analysis_data[[#This Row],[enquiry_date]])</f>
        <v>2026</v>
      </c>
      <c r="E435">
        <f>MONTH(enquiry_analysis_data[[#This Row],[enquiry_date]])</f>
        <v>7</v>
      </c>
      <c r="F435" t="s">
        <v>824</v>
      </c>
      <c r="G435" t="s">
        <v>825</v>
      </c>
      <c r="H435" s="2">
        <v>9000000348</v>
      </c>
      <c r="I435" t="s">
        <v>71</v>
      </c>
      <c r="J435" t="s">
        <v>19</v>
      </c>
      <c r="K435" t="s">
        <v>33</v>
      </c>
      <c r="L435" t="s">
        <v>99</v>
      </c>
      <c r="M435" t="s">
        <v>100</v>
      </c>
      <c r="N435" t="s">
        <v>101</v>
      </c>
      <c r="O435" t="s">
        <v>42</v>
      </c>
      <c r="P435" t="s">
        <v>43</v>
      </c>
      <c r="Q435" t="s">
        <v>141</v>
      </c>
      <c r="R435" t="s">
        <v>27</v>
      </c>
      <c r="S435">
        <f>IF(enquiry_analysis_data[[#This Row],[enquiry_status]]="Converted",1,0)</f>
        <v>0</v>
      </c>
      <c r="T435" t="s">
        <v>28</v>
      </c>
    </row>
    <row r="436" spans="1:20" x14ac:dyDescent="0.3">
      <c r="A436">
        <v>217</v>
      </c>
      <c r="B436" s="1">
        <v>46210.453356481485</v>
      </c>
      <c r="C436" s="1" t="str">
        <f>TEXT(enquiry_analysis_data[[#This Row],[enquiry_date]],"mmmm-yyyy")</f>
        <v>July-2026</v>
      </c>
      <c r="D436">
        <f>YEAR(enquiry_analysis_data[[#This Row],[enquiry_date]])</f>
        <v>2026</v>
      </c>
      <c r="E436">
        <f>MONTH(enquiry_analysis_data[[#This Row],[enquiry_date]])</f>
        <v>7</v>
      </c>
      <c r="F436" t="s">
        <v>826</v>
      </c>
      <c r="G436" t="s">
        <v>827</v>
      </c>
      <c r="H436" s="2">
        <v>9000000214</v>
      </c>
      <c r="I436" t="s">
        <v>88</v>
      </c>
      <c r="J436" t="s">
        <v>49</v>
      </c>
      <c r="K436" t="s">
        <v>20</v>
      </c>
      <c r="L436" t="s">
        <v>144</v>
      </c>
      <c r="M436" t="s">
        <v>145</v>
      </c>
      <c r="N436" t="s">
        <v>101</v>
      </c>
      <c r="O436" t="s">
        <v>42</v>
      </c>
      <c r="P436" t="s">
        <v>52</v>
      </c>
      <c r="Q436" t="s">
        <v>141</v>
      </c>
      <c r="R436" t="s">
        <v>56</v>
      </c>
      <c r="S436">
        <f>IF(enquiry_analysis_data[[#This Row],[enquiry_status]]="Converted",1,0)</f>
        <v>0</v>
      </c>
      <c r="T436" t="s">
        <v>28</v>
      </c>
    </row>
    <row r="437" spans="1:20" x14ac:dyDescent="0.3">
      <c r="A437">
        <v>375</v>
      </c>
      <c r="B437" s="1">
        <v>46211.55641203704</v>
      </c>
      <c r="C437" s="1" t="str">
        <f>TEXT(enquiry_analysis_data[[#This Row],[enquiry_date]],"mmmm-yyyy")</f>
        <v>July-2026</v>
      </c>
      <c r="D437">
        <f>YEAR(enquiry_analysis_data[[#This Row],[enquiry_date]])</f>
        <v>2026</v>
      </c>
      <c r="E437">
        <f>MONTH(enquiry_analysis_data[[#This Row],[enquiry_date]])</f>
        <v>7</v>
      </c>
      <c r="F437" t="s">
        <v>498</v>
      </c>
      <c r="G437" t="s">
        <v>828</v>
      </c>
      <c r="H437" s="2">
        <v>9000000372</v>
      </c>
      <c r="I437" t="s">
        <v>71</v>
      </c>
      <c r="J437" t="s">
        <v>49</v>
      </c>
      <c r="K437" t="s">
        <v>20</v>
      </c>
      <c r="L437" t="s">
        <v>40</v>
      </c>
      <c r="M437" t="s">
        <v>41</v>
      </c>
      <c r="N437" t="s">
        <v>41</v>
      </c>
      <c r="O437" t="s">
        <v>42</v>
      </c>
      <c r="P437" t="s">
        <v>36</v>
      </c>
      <c r="Q437" t="s">
        <v>141</v>
      </c>
      <c r="R437" t="s">
        <v>68</v>
      </c>
      <c r="S437">
        <f>IF(enquiry_analysis_data[[#This Row],[enquiry_status]]="Converted",1,0)</f>
        <v>1</v>
      </c>
      <c r="T437" t="s">
        <v>28</v>
      </c>
    </row>
    <row r="438" spans="1:20" x14ac:dyDescent="0.3">
      <c r="A438">
        <v>487</v>
      </c>
      <c r="B438" s="1">
        <v>46211.894490740742</v>
      </c>
      <c r="C438" s="1" t="str">
        <f>TEXT(enquiry_analysis_data[[#This Row],[enquiry_date]],"mmmm-yyyy")</f>
        <v>July-2026</v>
      </c>
      <c r="D438">
        <f>YEAR(enquiry_analysis_data[[#This Row],[enquiry_date]])</f>
        <v>2026</v>
      </c>
      <c r="E438">
        <f>MONTH(enquiry_analysis_data[[#This Row],[enquiry_date]])</f>
        <v>7</v>
      </c>
      <c r="F438" t="s">
        <v>424</v>
      </c>
      <c r="G438" t="s">
        <v>829</v>
      </c>
      <c r="H438" s="2">
        <v>9000000484</v>
      </c>
      <c r="I438" t="s">
        <v>66</v>
      </c>
      <c r="J438" t="s">
        <v>32</v>
      </c>
      <c r="K438" t="s">
        <v>33</v>
      </c>
      <c r="L438" t="s">
        <v>111</v>
      </c>
      <c r="M438" t="s">
        <v>112</v>
      </c>
      <c r="N438" t="s">
        <v>113</v>
      </c>
      <c r="O438" t="s">
        <v>24</v>
      </c>
      <c r="P438" t="s">
        <v>25</v>
      </c>
      <c r="Q438" t="s">
        <v>26</v>
      </c>
      <c r="R438" t="s">
        <v>56</v>
      </c>
      <c r="S438">
        <f>IF(enquiry_analysis_data[[#This Row],[enquiry_status]]="Converted",1,0)</f>
        <v>0</v>
      </c>
      <c r="T438" t="s">
        <v>28</v>
      </c>
    </row>
    <row r="439" spans="1:20" x14ac:dyDescent="0.3">
      <c r="A439">
        <v>309</v>
      </c>
      <c r="B439" s="1">
        <v>46211.976898148147</v>
      </c>
      <c r="C439" s="1" t="str">
        <f>TEXT(enquiry_analysis_data[[#This Row],[enquiry_date]],"mmmm-yyyy")</f>
        <v>July-2026</v>
      </c>
      <c r="D439">
        <f>YEAR(enquiry_analysis_data[[#This Row],[enquiry_date]])</f>
        <v>2026</v>
      </c>
      <c r="E439">
        <f>MONTH(enquiry_analysis_data[[#This Row],[enquiry_date]])</f>
        <v>7</v>
      </c>
      <c r="F439" t="s">
        <v>331</v>
      </c>
      <c r="G439" t="s">
        <v>830</v>
      </c>
      <c r="H439" s="2">
        <v>9000000306</v>
      </c>
      <c r="I439" t="s">
        <v>48</v>
      </c>
      <c r="J439" t="s">
        <v>19</v>
      </c>
      <c r="K439" t="s">
        <v>33</v>
      </c>
      <c r="L439" t="s">
        <v>60</v>
      </c>
      <c r="M439" t="s">
        <v>61</v>
      </c>
      <c r="N439" t="s">
        <v>62</v>
      </c>
      <c r="O439" t="s">
        <v>42</v>
      </c>
      <c r="P439" t="s">
        <v>25</v>
      </c>
      <c r="Q439" t="s">
        <v>83</v>
      </c>
      <c r="R439" t="s">
        <v>56</v>
      </c>
      <c r="S439">
        <f>IF(enquiry_analysis_data[[#This Row],[enquiry_status]]="Converted",1,0)</f>
        <v>0</v>
      </c>
      <c r="T439" t="s">
        <v>28</v>
      </c>
    </row>
    <row r="440" spans="1:20" x14ac:dyDescent="0.3">
      <c r="A440">
        <v>295</v>
      </c>
      <c r="B440" s="1">
        <v>46213.19263888889</v>
      </c>
      <c r="C440" s="1" t="str">
        <f>TEXT(enquiry_analysis_data[[#This Row],[enquiry_date]],"mmmm-yyyy")</f>
        <v>July-2026</v>
      </c>
      <c r="D440">
        <f>YEAR(enquiry_analysis_data[[#This Row],[enquiry_date]])</f>
        <v>2026</v>
      </c>
      <c r="E440">
        <f>MONTH(enquiry_analysis_data[[#This Row],[enquiry_date]])</f>
        <v>7</v>
      </c>
      <c r="F440" t="s">
        <v>306</v>
      </c>
      <c r="G440" t="s">
        <v>831</v>
      </c>
      <c r="H440" s="2">
        <v>9000000292</v>
      </c>
      <c r="I440" t="s">
        <v>31</v>
      </c>
      <c r="J440" t="s">
        <v>128</v>
      </c>
      <c r="K440" t="s">
        <v>20</v>
      </c>
      <c r="L440" t="s">
        <v>34</v>
      </c>
      <c r="M440" t="s">
        <v>35</v>
      </c>
      <c r="N440" t="s">
        <v>35</v>
      </c>
      <c r="O440" t="s">
        <v>24</v>
      </c>
      <c r="P440" t="s">
        <v>52</v>
      </c>
      <c r="Q440" t="s">
        <v>63</v>
      </c>
      <c r="R440" t="s">
        <v>27</v>
      </c>
      <c r="S440">
        <f>IF(enquiry_analysis_data[[#This Row],[enquiry_status]]="Converted",1,0)</f>
        <v>0</v>
      </c>
      <c r="T440" t="s">
        <v>28</v>
      </c>
    </row>
    <row r="441" spans="1:20" x14ac:dyDescent="0.3">
      <c r="A441">
        <v>345</v>
      </c>
      <c r="B441" s="1">
        <v>46215.120625000003</v>
      </c>
      <c r="C441" s="1" t="str">
        <f>TEXT(enquiry_analysis_data[[#This Row],[enquiry_date]],"mmmm-yyyy")</f>
        <v>July-2026</v>
      </c>
      <c r="D441">
        <f>YEAR(enquiry_analysis_data[[#This Row],[enquiry_date]])</f>
        <v>2026</v>
      </c>
      <c r="E441">
        <f>MONTH(enquiry_analysis_data[[#This Row],[enquiry_date]])</f>
        <v>7</v>
      </c>
      <c r="F441" t="s">
        <v>451</v>
      </c>
      <c r="G441" t="s">
        <v>832</v>
      </c>
      <c r="H441" s="2">
        <v>9000000342</v>
      </c>
      <c r="I441" t="s">
        <v>77</v>
      </c>
      <c r="J441" t="s">
        <v>128</v>
      </c>
      <c r="K441" t="s">
        <v>67</v>
      </c>
      <c r="L441" t="s">
        <v>40</v>
      </c>
      <c r="M441" t="s">
        <v>41</v>
      </c>
      <c r="N441" t="s">
        <v>41</v>
      </c>
      <c r="O441" t="s">
        <v>42</v>
      </c>
      <c r="P441" t="s">
        <v>52</v>
      </c>
      <c r="Q441" t="s">
        <v>63</v>
      </c>
      <c r="R441" t="s">
        <v>45</v>
      </c>
      <c r="S441">
        <f>IF(enquiry_analysis_data[[#This Row],[enquiry_status]]="Converted",1,0)</f>
        <v>0</v>
      </c>
      <c r="T441" t="s">
        <v>28</v>
      </c>
    </row>
    <row r="442" spans="1:20" x14ac:dyDescent="0.3">
      <c r="A442">
        <v>256</v>
      </c>
      <c r="B442" s="1">
        <v>46217.839166666665</v>
      </c>
      <c r="C442" s="1" t="str">
        <f>TEXT(enquiry_analysis_data[[#This Row],[enquiry_date]],"mmmm-yyyy")</f>
        <v>July-2026</v>
      </c>
      <c r="D442">
        <f>YEAR(enquiry_analysis_data[[#This Row],[enquiry_date]])</f>
        <v>2026</v>
      </c>
      <c r="E442">
        <f>MONTH(enquiry_analysis_data[[#This Row],[enquiry_date]])</f>
        <v>7</v>
      </c>
      <c r="F442" t="s">
        <v>833</v>
      </c>
      <c r="G442" t="s">
        <v>834</v>
      </c>
      <c r="H442" s="2">
        <v>9000000253</v>
      </c>
      <c r="I442" t="s">
        <v>77</v>
      </c>
      <c r="J442" t="s">
        <v>49</v>
      </c>
      <c r="K442" t="s">
        <v>20</v>
      </c>
      <c r="L442" t="s">
        <v>34</v>
      </c>
      <c r="M442" t="s">
        <v>35</v>
      </c>
      <c r="N442" t="s">
        <v>35</v>
      </c>
      <c r="O442" t="s">
        <v>24</v>
      </c>
      <c r="P442" t="s">
        <v>25</v>
      </c>
      <c r="Q442" t="s">
        <v>53</v>
      </c>
      <c r="R442" t="s">
        <v>194</v>
      </c>
      <c r="S442">
        <f>IF(enquiry_analysis_data[[#This Row],[enquiry_status]]="Converted",1,0)</f>
        <v>0</v>
      </c>
      <c r="T442" t="s">
        <v>28</v>
      </c>
    </row>
    <row r="443" spans="1:20" x14ac:dyDescent="0.3">
      <c r="A443">
        <v>154</v>
      </c>
      <c r="B443" s="1">
        <v>46218.333657407406</v>
      </c>
      <c r="C443" s="1" t="str">
        <f>TEXT(enquiry_analysis_data[[#This Row],[enquiry_date]],"mmmm-yyyy")</f>
        <v>July-2026</v>
      </c>
      <c r="D443">
        <f>YEAR(enquiry_analysis_data[[#This Row],[enquiry_date]])</f>
        <v>2026</v>
      </c>
      <c r="E443">
        <f>MONTH(enquiry_analysis_data[[#This Row],[enquiry_date]])</f>
        <v>7</v>
      </c>
      <c r="F443" t="s">
        <v>327</v>
      </c>
      <c r="G443" t="s">
        <v>835</v>
      </c>
      <c r="H443" s="2">
        <v>9000000151</v>
      </c>
      <c r="I443" t="s">
        <v>48</v>
      </c>
      <c r="J443" t="s">
        <v>128</v>
      </c>
      <c r="K443" t="s">
        <v>20</v>
      </c>
      <c r="L443" t="s">
        <v>144</v>
      </c>
      <c r="M443" t="s">
        <v>145</v>
      </c>
      <c r="N443" t="s">
        <v>101</v>
      </c>
      <c r="O443" t="s">
        <v>42</v>
      </c>
      <c r="P443" t="s">
        <v>36</v>
      </c>
      <c r="Q443" t="s">
        <v>26</v>
      </c>
      <c r="R443" t="s">
        <v>45</v>
      </c>
      <c r="S443">
        <f>IF(enquiry_analysis_data[[#This Row],[enquiry_status]]="Converted",1,0)</f>
        <v>0</v>
      </c>
      <c r="T443" t="s">
        <v>28</v>
      </c>
    </row>
    <row r="444" spans="1:20" x14ac:dyDescent="0.3">
      <c r="A444">
        <v>503</v>
      </c>
      <c r="B444" s="1">
        <v>46221.471296296295</v>
      </c>
      <c r="C444" s="1" t="str">
        <f>TEXT(enquiry_analysis_data[[#This Row],[enquiry_date]],"mmmm-yyyy")</f>
        <v>July-2026</v>
      </c>
      <c r="D444">
        <f>YEAR(enquiry_analysis_data[[#This Row],[enquiry_date]])</f>
        <v>2026</v>
      </c>
      <c r="E444">
        <f>MONTH(enquiry_analysis_data[[#This Row],[enquiry_date]])</f>
        <v>7</v>
      </c>
      <c r="F444" t="s">
        <v>447</v>
      </c>
      <c r="G444" t="s">
        <v>836</v>
      </c>
      <c r="H444" s="2">
        <v>9000000500</v>
      </c>
      <c r="I444" t="s">
        <v>77</v>
      </c>
      <c r="J444" t="s">
        <v>19</v>
      </c>
      <c r="K444" t="s">
        <v>33</v>
      </c>
      <c r="L444" t="s">
        <v>72</v>
      </c>
      <c r="M444" t="s">
        <v>73</v>
      </c>
      <c r="N444" t="s">
        <v>74</v>
      </c>
      <c r="O444" t="s">
        <v>24</v>
      </c>
      <c r="P444" t="s">
        <v>36</v>
      </c>
      <c r="Q444" t="s">
        <v>44</v>
      </c>
      <c r="R444" t="s">
        <v>68</v>
      </c>
      <c r="S444">
        <f>IF(enquiry_analysis_data[[#This Row],[enquiry_status]]="Converted",1,0)</f>
        <v>1</v>
      </c>
      <c r="T444" t="s">
        <v>28</v>
      </c>
    </row>
    <row r="445" spans="1:20" x14ac:dyDescent="0.3">
      <c r="A445">
        <v>150</v>
      </c>
      <c r="B445" s="1">
        <v>46221.750960648147</v>
      </c>
      <c r="C445" s="1" t="str">
        <f>TEXT(enquiry_analysis_data[[#This Row],[enquiry_date]],"mmmm-yyyy")</f>
        <v>July-2026</v>
      </c>
      <c r="D445">
        <f>YEAR(enquiry_analysis_data[[#This Row],[enquiry_date]])</f>
        <v>2026</v>
      </c>
      <c r="E445">
        <f>MONTH(enquiry_analysis_data[[#This Row],[enquiry_date]])</f>
        <v>7</v>
      </c>
      <c r="F445" t="s">
        <v>837</v>
      </c>
      <c r="G445" t="s">
        <v>838</v>
      </c>
      <c r="H445" s="2">
        <v>9000000147</v>
      </c>
      <c r="I445" t="s">
        <v>31</v>
      </c>
      <c r="J445" t="s">
        <v>128</v>
      </c>
      <c r="K445" t="s">
        <v>20</v>
      </c>
      <c r="L445" t="s">
        <v>111</v>
      </c>
      <c r="M445" t="s">
        <v>112</v>
      </c>
      <c r="N445" t="s">
        <v>113</v>
      </c>
      <c r="O445" t="s">
        <v>42</v>
      </c>
      <c r="P445" t="s">
        <v>36</v>
      </c>
      <c r="Q445" t="s">
        <v>141</v>
      </c>
      <c r="R445" t="s">
        <v>68</v>
      </c>
      <c r="S445">
        <f>IF(enquiry_analysis_data[[#This Row],[enquiry_status]]="Converted",1,0)</f>
        <v>1</v>
      </c>
      <c r="T445" t="s">
        <v>28</v>
      </c>
    </row>
    <row r="446" spans="1:20" x14ac:dyDescent="0.3">
      <c r="A446">
        <v>455</v>
      </c>
      <c r="B446" s="1">
        <v>46222.173090277778</v>
      </c>
      <c r="C446" s="1" t="str">
        <f>TEXT(enquiry_analysis_data[[#This Row],[enquiry_date]],"mmmm-yyyy")</f>
        <v>July-2026</v>
      </c>
      <c r="D446">
        <f>YEAR(enquiry_analysis_data[[#This Row],[enquiry_date]])</f>
        <v>2026</v>
      </c>
      <c r="E446">
        <f>MONTH(enquiry_analysis_data[[#This Row],[enquiry_date]])</f>
        <v>7</v>
      </c>
      <c r="F446" t="s">
        <v>590</v>
      </c>
      <c r="G446" t="s">
        <v>839</v>
      </c>
      <c r="H446" s="2">
        <v>9000000452</v>
      </c>
      <c r="I446" t="s">
        <v>77</v>
      </c>
      <c r="J446" t="s">
        <v>19</v>
      </c>
      <c r="K446" t="s">
        <v>67</v>
      </c>
      <c r="L446" t="s">
        <v>34</v>
      </c>
      <c r="M446" t="s">
        <v>35</v>
      </c>
      <c r="N446" t="s">
        <v>35</v>
      </c>
      <c r="O446" t="s">
        <v>24</v>
      </c>
      <c r="P446" t="s">
        <v>43</v>
      </c>
      <c r="Q446" t="s">
        <v>141</v>
      </c>
      <c r="R446" t="s">
        <v>68</v>
      </c>
      <c r="S446">
        <f>IF(enquiry_analysis_data[[#This Row],[enquiry_status]]="Converted",1,0)</f>
        <v>1</v>
      </c>
      <c r="T446" t="s">
        <v>28</v>
      </c>
    </row>
    <row r="447" spans="1:20" x14ac:dyDescent="0.3">
      <c r="A447">
        <v>467</v>
      </c>
      <c r="B447" s="1">
        <v>46224.207384259258</v>
      </c>
      <c r="C447" s="1" t="str">
        <f>TEXT(enquiry_analysis_data[[#This Row],[enquiry_date]],"mmmm-yyyy")</f>
        <v>July-2026</v>
      </c>
      <c r="D447">
        <f>YEAR(enquiry_analysis_data[[#This Row],[enquiry_date]])</f>
        <v>2026</v>
      </c>
      <c r="E447">
        <f>MONTH(enquiry_analysis_data[[#This Row],[enquiry_date]])</f>
        <v>7</v>
      </c>
      <c r="F447" t="s">
        <v>840</v>
      </c>
      <c r="G447" t="s">
        <v>841</v>
      </c>
      <c r="H447" s="2">
        <v>9000000464</v>
      </c>
      <c r="I447" t="s">
        <v>88</v>
      </c>
      <c r="J447" t="s">
        <v>49</v>
      </c>
      <c r="K447" t="s">
        <v>20</v>
      </c>
      <c r="L447" t="s">
        <v>144</v>
      </c>
      <c r="M447" t="s">
        <v>145</v>
      </c>
      <c r="N447" t="s">
        <v>101</v>
      </c>
      <c r="O447" t="s">
        <v>42</v>
      </c>
      <c r="P447" t="s">
        <v>36</v>
      </c>
      <c r="Q447" t="s">
        <v>63</v>
      </c>
      <c r="R447" t="s">
        <v>68</v>
      </c>
      <c r="S447">
        <f>IF(enquiry_analysis_data[[#This Row],[enquiry_status]]="Converted",1,0)</f>
        <v>1</v>
      </c>
      <c r="T447" t="s">
        <v>28</v>
      </c>
    </row>
    <row r="448" spans="1:20" x14ac:dyDescent="0.3">
      <c r="A448">
        <v>4</v>
      </c>
      <c r="B448" s="1">
        <v>46224.25267361111</v>
      </c>
      <c r="C448" s="1" t="str">
        <f>TEXT(enquiry_analysis_data[[#This Row],[enquiry_date]],"mmmm-yyyy")</f>
        <v>July-2026</v>
      </c>
      <c r="D448">
        <f>YEAR(enquiry_analysis_data[[#This Row],[enquiry_date]])</f>
        <v>2026</v>
      </c>
      <c r="E448">
        <f>MONTH(enquiry_analysis_data[[#This Row],[enquiry_date]])</f>
        <v>7</v>
      </c>
      <c r="F448" t="s">
        <v>492</v>
      </c>
      <c r="G448" t="s">
        <v>842</v>
      </c>
      <c r="H448" s="2">
        <v>9000000001</v>
      </c>
      <c r="I448" t="s">
        <v>77</v>
      </c>
      <c r="J448" t="s">
        <v>19</v>
      </c>
      <c r="K448" t="s">
        <v>33</v>
      </c>
      <c r="L448" t="s">
        <v>136</v>
      </c>
      <c r="M448" t="s">
        <v>137</v>
      </c>
      <c r="N448" t="s">
        <v>62</v>
      </c>
      <c r="O448" t="s">
        <v>24</v>
      </c>
      <c r="P448" t="s">
        <v>43</v>
      </c>
      <c r="Q448" t="s">
        <v>63</v>
      </c>
      <c r="R448" t="s">
        <v>45</v>
      </c>
      <c r="S448">
        <f>IF(enquiry_analysis_data[[#This Row],[enquiry_status]]="Converted",1,0)</f>
        <v>0</v>
      </c>
      <c r="T448" t="s">
        <v>28</v>
      </c>
    </row>
    <row r="449" spans="1:20" x14ac:dyDescent="0.3">
      <c r="A449">
        <v>498</v>
      </c>
      <c r="B449" s="1">
        <v>46224.749525462961</v>
      </c>
      <c r="C449" s="1" t="str">
        <f>TEXT(enquiry_analysis_data[[#This Row],[enquiry_date]],"mmmm-yyyy")</f>
        <v>July-2026</v>
      </c>
      <c r="D449">
        <f>YEAR(enquiry_analysis_data[[#This Row],[enquiry_date]])</f>
        <v>2026</v>
      </c>
      <c r="E449">
        <f>MONTH(enquiry_analysis_data[[#This Row],[enquiry_date]])</f>
        <v>7</v>
      </c>
      <c r="F449" t="s">
        <v>426</v>
      </c>
      <c r="G449" t="s">
        <v>843</v>
      </c>
      <c r="H449" s="2">
        <v>9000000495</v>
      </c>
      <c r="I449" t="s">
        <v>123</v>
      </c>
      <c r="J449" t="s">
        <v>19</v>
      </c>
      <c r="K449" t="s">
        <v>33</v>
      </c>
      <c r="L449" t="s">
        <v>154</v>
      </c>
      <c r="M449" t="s">
        <v>155</v>
      </c>
      <c r="N449" t="s">
        <v>156</v>
      </c>
      <c r="O449" t="s">
        <v>24</v>
      </c>
      <c r="P449" t="s">
        <v>36</v>
      </c>
      <c r="Q449" t="s">
        <v>141</v>
      </c>
      <c r="R449" t="s">
        <v>27</v>
      </c>
      <c r="S449">
        <f>IF(enquiry_analysis_data[[#This Row],[enquiry_status]]="Converted",1,0)</f>
        <v>0</v>
      </c>
      <c r="T449" t="s">
        <v>28</v>
      </c>
    </row>
    <row r="450" spans="1:20" x14ac:dyDescent="0.3">
      <c r="A450">
        <v>173</v>
      </c>
      <c r="B450" s="1">
        <v>46224.830891203703</v>
      </c>
      <c r="C450" s="1" t="str">
        <f>TEXT(enquiry_analysis_data[[#This Row],[enquiry_date]],"mmmm-yyyy")</f>
        <v>July-2026</v>
      </c>
      <c r="D450">
        <f>YEAR(enquiry_analysis_data[[#This Row],[enquiry_date]])</f>
        <v>2026</v>
      </c>
      <c r="E450">
        <f>MONTH(enquiry_analysis_data[[#This Row],[enquiry_date]])</f>
        <v>7</v>
      </c>
      <c r="F450" t="s">
        <v>844</v>
      </c>
      <c r="G450" t="s">
        <v>845</v>
      </c>
      <c r="H450" s="2">
        <v>9000000170</v>
      </c>
      <c r="I450" t="s">
        <v>71</v>
      </c>
      <c r="J450" t="s">
        <v>49</v>
      </c>
      <c r="K450" t="s">
        <v>20</v>
      </c>
      <c r="L450" t="s">
        <v>99</v>
      </c>
      <c r="M450" t="s">
        <v>100</v>
      </c>
      <c r="N450" t="s">
        <v>101</v>
      </c>
      <c r="O450" t="s">
        <v>42</v>
      </c>
      <c r="P450" t="s">
        <v>43</v>
      </c>
      <c r="Q450" t="s">
        <v>63</v>
      </c>
      <c r="R450" t="s">
        <v>68</v>
      </c>
      <c r="S450">
        <f>IF(enquiry_analysis_data[[#This Row],[enquiry_status]]="Converted",1,0)</f>
        <v>1</v>
      </c>
      <c r="T450" t="s">
        <v>28</v>
      </c>
    </row>
    <row r="451" spans="1:20" x14ac:dyDescent="0.3">
      <c r="A451">
        <v>9</v>
      </c>
      <c r="B451" s="1">
        <v>46230.013148148151</v>
      </c>
      <c r="C451" s="1" t="str">
        <f>TEXT(enquiry_analysis_data[[#This Row],[enquiry_date]],"mmmm-yyyy")</f>
        <v>July-2026</v>
      </c>
      <c r="D451">
        <f>YEAR(enquiry_analysis_data[[#This Row],[enquiry_date]])</f>
        <v>2026</v>
      </c>
      <c r="E451">
        <f>MONTH(enquiry_analysis_data[[#This Row],[enquiry_date]])</f>
        <v>7</v>
      </c>
      <c r="F451" t="s">
        <v>846</v>
      </c>
      <c r="G451" t="s">
        <v>847</v>
      </c>
      <c r="H451" s="2">
        <v>9000000006</v>
      </c>
      <c r="I451" t="s">
        <v>93</v>
      </c>
      <c r="J451" t="s">
        <v>32</v>
      </c>
      <c r="K451" t="s">
        <v>67</v>
      </c>
      <c r="L451" t="s">
        <v>144</v>
      </c>
      <c r="M451" t="s">
        <v>145</v>
      </c>
      <c r="N451" t="s">
        <v>101</v>
      </c>
      <c r="O451" t="s">
        <v>42</v>
      </c>
      <c r="P451" t="s">
        <v>25</v>
      </c>
      <c r="Q451" t="s">
        <v>53</v>
      </c>
      <c r="R451" t="s">
        <v>27</v>
      </c>
      <c r="S451">
        <f>IF(enquiry_analysis_data[[#This Row],[enquiry_status]]="Converted",1,0)</f>
        <v>0</v>
      </c>
      <c r="T451" t="s">
        <v>28</v>
      </c>
    </row>
    <row r="452" spans="1:20" x14ac:dyDescent="0.3">
      <c r="A452">
        <v>276</v>
      </c>
      <c r="B452" s="1">
        <v>46230.866527777776</v>
      </c>
      <c r="C452" s="1" t="str">
        <f>TEXT(enquiry_analysis_data[[#This Row],[enquiry_date]],"mmmm-yyyy")</f>
        <v>July-2026</v>
      </c>
      <c r="D452">
        <f>YEAR(enquiry_analysis_data[[#This Row],[enquiry_date]])</f>
        <v>2026</v>
      </c>
      <c r="E452">
        <f>MONTH(enquiry_analysis_data[[#This Row],[enquiry_date]])</f>
        <v>7</v>
      </c>
      <c r="F452" t="s">
        <v>848</v>
      </c>
      <c r="G452" t="s">
        <v>849</v>
      </c>
      <c r="H452" s="2">
        <v>9000000273</v>
      </c>
      <c r="I452" t="s">
        <v>31</v>
      </c>
      <c r="J452" t="s">
        <v>32</v>
      </c>
      <c r="K452" t="s">
        <v>67</v>
      </c>
      <c r="L452" t="s">
        <v>111</v>
      </c>
      <c r="M452" t="s">
        <v>112</v>
      </c>
      <c r="N452" t="s">
        <v>113</v>
      </c>
      <c r="O452" t="s">
        <v>24</v>
      </c>
      <c r="P452" t="s">
        <v>43</v>
      </c>
      <c r="Q452" t="s">
        <v>26</v>
      </c>
      <c r="R452" t="s">
        <v>27</v>
      </c>
      <c r="S452">
        <f>IF(enquiry_analysis_data[[#This Row],[enquiry_status]]="Converted",1,0)</f>
        <v>0</v>
      </c>
      <c r="T452" t="s">
        <v>28</v>
      </c>
    </row>
    <row r="453" spans="1:20" x14ac:dyDescent="0.3">
      <c r="A453">
        <v>277</v>
      </c>
      <c r="B453" s="1">
        <v>46231.678171296298</v>
      </c>
      <c r="C453" s="1" t="str">
        <f>TEXT(enquiry_analysis_data[[#This Row],[enquiry_date]],"mmmm-yyyy")</f>
        <v>July-2026</v>
      </c>
      <c r="D453">
        <f>YEAR(enquiry_analysis_data[[#This Row],[enquiry_date]])</f>
        <v>2026</v>
      </c>
      <c r="E453">
        <f>MONTH(enquiry_analysis_data[[#This Row],[enquiry_date]])</f>
        <v>7</v>
      </c>
      <c r="F453" t="s">
        <v>529</v>
      </c>
      <c r="G453" t="s">
        <v>850</v>
      </c>
      <c r="H453" s="2">
        <v>9000000274</v>
      </c>
      <c r="I453" t="s">
        <v>77</v>
      </c>
      <c r="J453" t="s">
        <v>32</v>
      </c>
      <c r="K453" t="s">
        <v>33</v>
      </c>
      <c r="L453" t="s">
        <v>144</v>
      </c>
      <c r="M453" t="s">
        <v>145</v>
      </c>
      <c r="N453" t="s">
        <v>101</v>
      </c>
      <c r="O453" t="s">
        <v>42</v>
      </c>
      <c r="P453" t="s">
        <v>25</v>
      </c>
      <c r="Q453" t="s">
        <v>63</v>
      </c>
      <c r="R453" t="s">
        <v>68</v>
      </c>
      <c r="S453">
        <f>IF(enquiry_analysis_data[[#This Row],[enquiry_status]]="Converted",1,0)</f>
        <v>1</v>
      </c>
      <c r="T453" t="s">
        <v>28</v>
      </c>
    </row>
    <row r="454" spans="1:20" x14ac:dyDescent="0.3">
      <c r="A454">
        <v>344</v>
      </c>
      <c r="B454" s="1">
        <v>46235.100254629629</v>
      </c>
      <c r="C454" s="1" t="str">
        <f>TEXT(enquiry_analysis_data[[#This Row],[enquiry_date]],"mmmm-yyyy")</f>
        <v>August-2026</v>
      </c>
      <c r="D454">
        <f>YEAR(enquiry_analysis_data[[#This Row],[enquiry_date]])</f>
        <v>2026</v>
      </c>
      <c r="E454">
        <f>MONTH(enquiry_analysis_data[[#This Row],[enquiry_date]])</f>
        <v>8</v>
      </c>
      <c r="F454" t="s">
        <v>102</v>
      </c>
      <c r="G454" t="s">
        <v>851</v>
      </c>
      <c r="H454" s="2">
        <v>9000000341</v>
      </c>
      <c r="I454" t="s">
        <v>71</v>
      </c>
      <c r="J454" t="s">
        <v>49</v>
      </c>
      <c r="K454" t="s">
        <v>20</v>
      </c>
      <c r="L454" t="s">
        <v>117</v>
      </c>
      <c r="M454" t="s">
        <v>118</v>
      </c>
      <c r="N454" t="s">
        <v>119</v>
      </c>
      <c r="O454" t="s">
        <v>42</v>
      </c>
      <c r="P454" t="s">
        <v>36</v>
      </c>
      <c r="Q454" t="s">
        <v>53</v>
      </c>
      <c r="R454" t="s">
        <v>45</v>
      </c>
      <c r="S454">
        <f>IF(enquiry_analysis_data[[#This Row],[enquiry_status]]="Converted",1,0)</f>
        <v>0</v>
      </c>
      <c r="T454" t="s">
        <v>28</v>
      </c>
    </row>
    <row r="455" spans="1:20" x14ac:dyDescent="0.3">
      <c r="A455">
        <v>70</v>
      </c>
      <c r="B455" s="1">
        <v>46235.588993055557</v>
      </c>
      <c r="C455" s="1" t="str">
        <f>TEXT(enquiry_analysis_data[[#This Row],[enquiry_date]],"mmmm-yyyy")</f>
        <v>August-2026</v>
      </c>
      <c r="D455">
        <f>YEAR(enquiry_analysis_data[[#This Row],[enquiry_date]])</f>
        <v>2026</v>
      </c>
      <c r="E455">
        <f>MONTH(enquiry_analysis_data[[#This Row],[enquiry_date]])</f>
        <v>8</v>
      </c>
      <c r="F455" t="s">
        <v>852</v>
      </c>
      <c r="G455" t="s">
        <v>853</v>
      </c>
      <c r="H455" s="2">
        <v>9000000067</v>
      </c>
      <c r="I455" t="s">
        <v>18</v>
      </c>
      <c r="J455" t="s">
        <v>19</v>
      </c>
      <c r="K455" t="s">
        <v>33</v>
      </c>
      <c r="L455" t="s">
        <v>99</v>
      </c>
      <c r="M455" t="s">
        <v>100</v>
      </c>
      <c r="N455" t="s">
        <v>101</v>
      </c>
      <c r="O455" t="s">
        <v>42</v>
      </c>
      <c r="P455" t="s">
        <v>43</v>
      </c>
      <c r="Q455" t="s">
        <v>138</v>
      </c>
      <c r="R455" t="s">
        <v>68</v>
      </c>
      <c r="S455">
        <f>IF(enquiry_analysis_data[[#This Row],[enquiry_status]]="Converted",1,0)</f>
        <v>1</v>
      </c>
      <c r="T455" t="s">
        <v>28</v>
      </c>
    </row>
    <row r="456" spans="1:20" x14ac:dyDescent="0.3">
      <c r="A456">
        <v>302</v>
      </c>
      <c r="B456" s="1">
        <v>46236.042222222219</v>
      </c>
      <c r="C456" s="1" t="str">
        <f>TEXT(enquiry_analysis_data[[#This Row],[enquiry_date]],"mmmm-yyyy")</f>
        <v>August-2026</v>
      </c>
      <c r="D456">
        <f>YEAR(enquiry_analysis_data[[#This Row],[enquiry_date]])</f>
        <v>2026</v>
      </c>
      <c r="E456">
        <f>MONTH(enquiry_analysis_data[[#This Row],[enquiry_date]])</f>
        <v>8</v>
      </c>
      <c r="F456" t="s">
        <v>854</v>
      </c>
      <c r="G456" t="s">
        <v>855</v>
      </c>
      <c r="H456" s="2">
        <v>9000000299</v>
      </c>
      <c r="I456" t="s">
        <v>123</v>
      </c>
      <c r="J456" t="s">
        <v>19</v>
      </c>
      <c r="K456" t="s">
        <v>20</v>
      </c>
      <c r="L456" t="s">
        <v>60</v>
      </c>
      <c r="M456" t="s">
        <v>61</v>
      </c>
      <c r="N456" t="s">
        <v>62</v>
      </c>
      <c r="O456" t="s">
        <v>42</v>
      </c>
      <c r="P456" t="s">
        <v>25</v>
      </c>
      <c r="Q456" t="s">
        <v>141</v>
      </c>
      <c r="R456" t="s">
        <v>27</v>
      </c>
      <c r="S456">
        <f>IF(enquiry_analysis_data[[#This Row],[enquiry_status]]="Converted",1,0)</f>
        <v>0</v>
      </c>
      <c r="T456" t="s">
        <v>28</v>
      </c>
    </row>
    <row r="457" spans="1:20" x14ac:dyDescent="0.3">
      <c r="A457">
        <v>424</v>
      </c>
      <c r="B457" s="1">
        <v>46236.160057870373</v>
      </c>
      <c r="C457" s="1" t="str">
        <f>TEXT(enquiry_analysis_data[[#This Row],[enquiry_date]],"mmmm-yyyy")</f>
        <v>August-2026</v>
      </c>
      <c r="D457">
        <f>YEAR(enquiry_analysis_data[[#This Row],[enquiry_date]])</f>
        <v>2026</v>
      </c>
      <c r="E457">
        <f>MONTH(enquiry_analysis_data[[#This Row],[enquiry_date]])</f>
        <v>8</v>
      </c>
      <c r="F457" t="s">
        <v>672</v>
      </c>
      <c r="G457" t="s">
        <v>856</v>
      </c>
      <c r="H457" s="2">
        <v>9000000421</v>
      </c>
      <c r="I457" t="s">
        <v>88</v>
      </c>
      <c r="J457" t="s">
        <v>49</v>
      </c>
      <c r="K457" t="s">
        <v>20</v>
      </c>
      <c r="L457" t="s">
        <v>60</v>
      </c>
      <c r="M457" t="s">
        <v>61</v>
      </c>
      <c r="N457" t="s">
        <v>62</v>
      </c>
      <c r="O457" t="s">
        <v>42</v>
      </c>
      <c r="P457" t="s">
        <v>52</v>
      </c>
      <c r="Q457" t="s">
        <v>53</v>
      </c>
      <c r="R457" t="s">
        <v>27</v>
      </c>
      <c r="S457">
        <f>IF(enquiry_analysis_data[[#This Row],[enquiry_status]]="Converted",1,0)</f>
        <v>0</v>
      </c>
      <c r="T457" t="s">
        <v>28</v>
      </c>
    </row>
    <row r="458" spans="1:20" x14ac:dyDescent="0.3">
      <c r="A458">
        <v>439</v>
      </c>
      <c r="B458" s="1">
        <v>46236.819675925923</v>
      </c>
      <c r="C458" s="1" t="str">
        <f>TEXT(enquiry_analysis_data[[#This Row],[enquiry_date]],"mmmm-yyyy")</f>
        <v>August-2026</v>
      </c>
      <c r="D458">
        <f>YEAR(enquiry_analysis_data[[#This Row],[enquiry_date]])</f>
        <v>2026</v>
      </c>
      <c r="E458">
        <f>MONTH(enquiry_analysis_data[[#This Row],[enquiry_date]])</f>
        <v>8</v>
      </c>
      <c r="F458" t="s">
        <v>857</v>
      </c>
      <c r="G458" t="s">
        <v>858</v>
      </c>
      <c r="H458" s="2">
        <v>9000000436</v>
      </c>
      <c r="I458" t="s">
        <v>18</v>
      </c>
      <c r="J458" t="s">
        <v>19</v>
      </c>
      <c r="K458" t="s">
        <v>33</v>
      </c>
      <c r="L458" t="s">
        <v>21</v>
      </c>
      <c r="M458" t="s">
        <v>22</v>
      </c>
      <c r="N458" t="s">
        <v>23</v>
      </c>
      <c r="O458" t="s">
        <v>42</v>
      </c>
      <c r="P458" t="s">
        <v>43</v>
      </c>
      <c r="Q458" t="s">
        <v>138</v>
      </c>
      <c r="R458" t="s">
        <v>27</v>
      </c>
      <c r="S458">
        <f>IF(enquiry_analysis_data[[#This Row],[enquiry_status]]="Converted",1,0)</f>
        <v>0</v>
      </c>
      <c r="T458" t="s">
        <v>28</v>
      </c>
    </row>
    <row r="459" spans="1:20" x14ac:dyDescent="0.3">
      <c r="A459">
        <v>94</v>
      </c>
      <c r="B459" s="1">
        <v>46237.658726851849</v>
      </c>
      <c r="C459" s="1" t="str">
        <f>TEXT(enquiry_analysis_data[[#This Row],[enquiry_date]],"mmmm-yyyy")</f>
        <v>August-2026</v>
      </c>
      <c r="D459">
        <f>YEAR(enquiry_analysis_data[[#This Row],[enquiry_date]])</f>
        <v>2026</v>
      </c>
      <c r="E459">
        <f>MONTH(enquiry_analysis_data[[#This Row],[enquiry_date]])</f>
        <v>8</v>
      </c>
      <c r="F459" t="s">
        <v>649</v>
      </c>
      <c r="G459" t="s">
        <v>859</v>
      </c>
      <c r="H459" s="2">
        <v>9000000091</v>
      </c>
      <c r="I459" t="s">
        <v>77</v>
      </c>
      <c r="J459" t="s">
        <v>128</v>
      </c>
      <c r="K459" t="s">
        <v>33</v>
      </c>
      <c r="L459" t="s">
        <v>60</v>
      </c>
      <c r="M459" t="s">
        <v>61</v>
      </c>
      <c r="N459" t="s">
        <v>62</v>
      </c>
      <c r="O459" t="s">
        <v>24</v>
      </c>
      <c r="P459" t="s">
        <v>52</v>
      </c>
      <c r="Q459" t="s">
        <v>83</v>
      </c>
      <c r="R459" t="s">
        <v>27</v>
      </c>
      <c r="S459">
        <f>IF(enquiry_analysis_data[[#This Row],[enquiry_status]]="Converted",1,0)</f>
        <v>0</v>
      </c>
      <c r="T459" t="s">
        <v>28</v>
      </c>
    </row>
    <row r="460" spans="1:20" x14ac:dyDescent="0.3">
      <c r="A460">
        <v>369</v>
      </c>
      <c r="B460" s="1">
        <v>46238.395902777775</v>
      </c>
      <c r="C460" s="1" t="str">
        <f>TEXT(enquiry_analysis_data[[#This Row],[enquiry_date]],"mmmm-yyyy")</f>
        <v>August-2026</v>
      </c>
      <c r="D460">
        <f>YEAR(enquiry_analysis_data[[#This Row],[enquiry_date]])</f>
        <v>2026</v>
      </c>
      <c r="E460">
        <f>MONTH(enquiry_analysis_data[[#This Row],[enquiry_date]])</f>
        <v>8</v>
      </c>
      <c r="F460" t="s">
        <v>606</v>
      </c>
      <c r="G460" t="s">
        <v>860</v>
      </c>
      <c r="H460" s="2">
        <v>9000000366</v>
      </c>
      <c r="I460" t="s">
        <v>71</v>
      </c>
      <c r="J460" t="s">
        <v>32</v>
      </c>
      <c r="K460" t="s">
        <v>33</v>
      </c>
      <c r="L460" t="s">
        <v>78</v>
      </c>
      <c r="M460" t="s">
        <v>79</v>
      </c>
      <c r="N460" t="s">
        <v>80</v>
      </c>
      <c r="O460" t="s">
        <v>42</v>
      </c>
      <c r="P460" t="s">
        <v>36</v>
      </c>
      <c r="Q460" t="s">
        <v>26</v>
      </c>
      <c r="R460" t="s">
        <v>68</v>
      </c>
      <c r="S460">
        <f>IF(enquiry_analysis_data[[#This Row],[enquiry_status]]="Converted",1,0)</f>
        <v>1</v>
      </c>
      <c r="T460" t="s">
        <v>28</v>
      </c>
    </row>
    <row r="461" spans="1:20" x14ac:dyDescent="0.3">
      <c r="A461">
        <v>245</v>
      </c>
      <c r="B461" s="1">
        <v>46239.242326388892</v>
      </c>
      <c r="C461" s="1" t="str">
        <f>TEXT(enquiry_analysis_data[[#This Row],[enquiry_date]],"mmmm-yyyy")</f>
        <v>August-2026</v>
      </c>
      <c r="D461">
        <f>YEAR(enquiry_analysis_data[[#This Row],[enquiry_date]])</f>
        <v>2026</v>
      </c>
      <c r="E461">
        <f>MONTH(enquiry_analysis_data[[#This Row],[enquiry_date]])</f>
        <v>8</v>
      </c>
      <c r="F461" t="s">
        <v>861</v>
      </c>
      <c r="G461" t="s">
        <v>862</v>
      </c>
      <c r="H461" s="2">
        <v>9000000242</v>
      </c>
      <c r="I461" t="s">
        <v>71</v>
      </c>
      <c r="J461" t="s">
        <v>19</v>
      </c>
      <c r="K461" t="s">
        <v>33</v>
      </c>
      <c r="L461" t="s">
        <v>40</v>
      </c>
      <c r="M461" t="s">
        <v>41</v>
      </c>
      <c r="N461" t="s">
        <v>41</v>
      </c>
      <c r="O461" t="s">
        <v>24</v>
      </c>
      <c r="P461" t="s">
        <v>36</v>
      </c>
      <c r="Q461" t="s">
        <v>83</v>
      </c>
      <c r="R461" t="s">
        <v>114</v>
      </c>
      <c r="S461">
        <f>IF(enquiry_analysis_data[[#This Row],[enquiry_status]]="Converted",1,0)</f>
        <v>0</v>
      </c>
      <c r="T461" t="s">
        <v>28</v>
      </c>
    </row>
    <row r="462" spans="1:20" x14ac:dyDescent="0.3">
      <c r="A462">
        <v>349</v>
      </c>
      <c r="B462" s="1">
        <v>46239.695324074077</v>
      </c>
      <c r="C462" s="1" t="str">
        <f>TEXT(enquiry_analysis_data[[#This Row],[enquiry_date]],"mmmm-yyyy")</f>
        <v>August-2026</v>
      </c>
      <c r="D462">
        <f>YEAR(enquiry_analysis_data[[#This Row],[enquiry_date]])</f>
        <v>2026</v>
      </c>
      <c r="E462">
        <f>MONTH(enquiry_analysis_data[[#This Row],[enquiry_date]])</f>
        <v>8</v>
      </c>
      <c r="F462" t="s">
        <v>852</v>
      </c>
      <c r="G462" t="s">
        <v>863</v>
      </c>
      <c r="H462" s="2">
        <v>9000000346</v>
      </c>
      <c r="I462" t="s">
        <v>18</v>
      </c>
      <c r="J462" t="s">
        <v>19</v>
      </c>
      <c r="K462" t="s">
        <v>33</v>
      </c>
      <c r="L462" t="s">
        <v>111</v>
      </c>
      <c r="M462" t="s">
        <v>112</v>
      </c>
      <c r="N462" t="s">
        <v>113</v>
      </c>
      <c r="O462" t="s">
        <v>42</v>
      </c>
      <c r="P462" t="s">
        <v>36</v>
      </c>
      <c r="Q462" t="s">
        <v>53</v>
      </c>
      <c r="R462" t="s">
        <v>68</v>
      </c>
      <c r="S462">
        <f>IF(enquiry_analysis_data[[#This Row],[enquiry_status]]="Converted",1,0)</f>
        <v>1</v>
      </c>
      <c r="T462" t="s">
        <v>28</v>
      </c>
    </row>
    <row r="463" spans="1:20" x14ac:dyDescent="0.3">
      <c r="A463">
        <v>21</v>
      </c>
      <c r="B463" s="1">
        <v>46240.15934027778</v>
      </c>
      <c r="C463" s="1" t="str">
        <f>TEXT(enquiry_analysis_data[[#This Row],[enquiry_date]],"mmmm-yyyy")</f>
        <v>August-2026</v>
      </c>
      <c r="D463">
        <f>YEAR(enquiry_analysis_data[[#This Row],[enquiry_date]])</f>
        <v>2026</v>
      </c>
      <c r="E463">
        <f>MONTH(enquiry_analysis_data[[#This Row],[enquiry_date]])</f>
        <v>8</v>
      </c>
      <c r="F463" t="s">
        <v>534</v>
      </c>
      <c r="G463" t="s">
        <v>864</v>
      </c>
      <c r="H463" s="2">
        <v>9000000018</v>
      </c>
      <c r="I463" t="s">
        <v>18</v>
      </c>
      <c r="J463" t="s">
        <v>49</v>
      </c>
      <c r="K463" t="s">
        <v>20</v>
      </c>
      <c r="L463" t="s">
        <v>21</v>
      </c>
      <c r="M463" t="s">
        <v>22</v>
      </c>
      <c r="N463" t="s">
        <v>23</v>
      </c>
      <c r="O463" t="s">
        <v>42</v>
      </c>
      <c r="P463" t="s">
        <v>36</v>
      </c>
      <c r="Q463" t="s">
        <v>138</v>
      </c>
      <c r="R463" t="s">
        <v>45</v>
      </c>
      <c r="S463">
        <f>IF(enquiry_analysis_data[[#This Row],[enquiry_status]]="Converted",1,0)</f>
        <v>0</v>
      </c>
      <c r="T463" t="s">
        <v>28</v>
      </c>
    </row>
    <row r="464" spans="1:20" x14ac:dyDescent="0.3">
      <c r="A464">
        <v>243</v>
      </c>
      <c r="B464" s="1">
        <v>46242.816805555558</v>
      </c>
      <c r="C464" s="1" t="str">
        <f>TEXT(enquiry_analysis_data[[#This Row],[enquiry_date]],"mmmm-yyyy")</f>
        <v>August-2026</v>
      </c>
      <c r="D464">
        <f>YEAR(enquiry_analysis_data[[#This Row],[enquiry_date]])</f>
        <v>2026</v>
      </c>
      <c r="E464">
        <f>MONTH(enquiry_analysis_data[[#This Row],[enquiry_date]])</f>
        <v>8</v>
      </c>
      <c r="F464" t="s">
        <v>865</v>
      </c>
      <c r="G464" t="s">
        <v>866</v>
      </c>
      <c r="H464" s="2">
        <v>9000000240</v>
      </c>
      <c r="I464" t="s">
        <v>88</v>
      </c>
      <c r="J464" t="s">
        <v>19</v>
      </c>
      <c r="K464" t="s">
        <v>67</v>
      </c>
      <c r="L464" t="s">
        <v>78</v>
      </c>
      <c r="M464" t="s">
        <v>79</v>
      </c>
      <c r="N464" t="s">
        <v>80</v>
      </c>
      <c r="O464" t="s">
        <v>42</v>
      </c>
      <c r="P464" t="s">
        <v>25</v>
      </c>
      <c r="Q464" t="s">
        <v>37</v>
      </c>
      <c r="R464" t="s">
        <v>56</v>
      </c>
      <c r="S464">
        <f>IF(enquiry_analysis_data[[#This Row],[enquiry_status]]="Converted",1,0)</f>
        <v>0</v>
      </c>
      <c r="T464" t="s">
        <v>28</v>
      </c>
    </row>
    <row r="465" spans="1:20" x14ac:dyDescent="0.3">
      <c r="A465">
        <v>361</v>
      </c>
      <c r="B465" s="1">
        <v>46242.979953703703</v>
      </c>
      <c r="C465" s="1" t="str">
        <f>TEXT(enquiry_analysis_data[[#This Row],[enquiry_date]],"mmmm-yyyy")</f>
        <v>August-2026</v>
      </c>
      <c r="D465">
        <f>YEAR(enquiry_analysis_data[[#This Row],[enquiry_date]])</f>
        <v>2026</v>
      </c>
      <c r="E465">
        <f>MONTH(enquiry_analysis_data[[#This Row],[enquiry_date]])</f>
        <v>8</v>
      </c>
      <c r="F465" t="s">
        <v>359</v>
      </c>
      <c r="G465" t="s">
        <v>867</v>
      </c>
      <c r="H465" s="2">
        <v>9000000358</v>
      </c>
      <c r="I465" t="s">
        <v>59</v>
      </c>
      <c r="J465" t="s">
        <v>128</v>
      </c>
      <c r="K465" t="s">
        <v>20</v>
      </c>
      <c r="L465" t="s">
        <v>40</v>
      </c>
      <c r="M465" t="s">
        <v>41</v>
      </c>
      <c r="N465" t="s">
        <v>41</v>
      </c>
      <c r="O465" t="s">
        <v>24</v>
      </c>
      <c r="P465" t="s">
        <v>52</v>
      </c>
      <c r="Q465" t="s">
        <v>141</v>
      </c>
      <c r="R465" t="s">
        <v>56</v>
      </c>
      <c r="S465">
        <f>IF(enquiry_analysis_data[[#This Row],[enquiry_status]]="Converted",1,0)</f>
        <v>0</v>
      </c>
      <c r="T465" t="s">
        <v>28</v>
      </c>
    </row>
    <row r="466" spans="1:20" x14ac:dyDescent="0.3">
      <c r="A466">
        <v>35</v>
      </c>
      <c r="B466" s="1">
        <v>46243.085960648146</v>
      </c>
      <c r="C466" s="1" t="str">
        <f>TEXT(enquiry_analysis_data[[#This Row],[enquiry_date]],"mmmm-yyyy")</f>
        <v>August-2026</v>
      </c>
      <c r="D466">
        <f>YEAR(enquiry_analysis_data[[#This Row],[enquiry_date]])</f>
        <v>2026</v>
      </c>
      <c r="E466">
        <f>MONTH(enquiry_analysis_data[[#This Row],[enquiry_date]])</f>
        <v>8</v>
      </c>
      <c r="F466" t="s">
        <v>215</v>
      </c>
      <c r="G466" t="s">
        <v>868</v>
      </c>
      <c r="H466" s="2">
        <v>9000000032</v>
      </c>
      <c r="I466" t="s">
        <v>123</v>
      </c>
      <c r="J466" t="s">
        <v>128</v>
      </c>
      <c r="K466" t="s">
        <v>94</v>
      </c>
      <c r="L466" t="s">
        <v>99</v>
      </c>
      <c r="M466" t="s">
        <v>100</v>
      </c>
      <c r="N466" t="s">
        <v>101</v>
      </c>
      <c r="O466" t="s">
        <v>42</v>
      </c>
      <c r="P466" t="s">
        <v>25</v>
      </c>
      <c r="Q466" t="s">
        <v>83</v>
      </c>
      <c r="R466" t="s">
        <v>45</v>
      </c>
      <c r="S466">
        <f>IF(enquiry_analysis_data[[#This Row],[enquiry_status]]="Converted",1,0)</f>
        <v>0</v>
      </c>
      <c r="T466" t="s">
        <v>28</v>
      </c>
    </row>
    <row r="467" spans="1:20" x14ac:dyDescent="0.3">
      <c r="A467">
        <v>353</v>
      </c>
      <c r="B467" s="1">
        <v>46243.708715277775</v>
      </c>
      <c r="C467" s="1" t="str">
        <f>TEXT(enquiry_analysis_data[[#This Row],[enquiry_date]],"mmmm-yyyy")</f>
        <v>August-2026</v>
      </c>
      <c r="D467">
        <f>YEAR(enquiry_analysis_data[[#This Row],[enquiry_date]])</f>
        <v>2026</v>
      </c>
      <c r="E467">
        <f>MONTH(enquiry_analysis_data[[#This Row],[enquiry_date]])</f>
        <v>8</v>
      </c>
      <c r="F467" t="s">
        <v>508</v>
      </c>
      <c r="G467" t="s">
        <v>869</v>
      </c>
      <c r="H467" s="2">
        <v>9000000350</v>
      </c>
      <c r="I467" t="s">
        <v>18</v>
      </c>
      <c r="J467" t="s">
        <v>128</v>
      </c>
      <c r="K467" t="s">
        <v>67</v>
      </c>
      <c r="L467" t="s">
        <v>40</v>
      </c>
      <c r="M467" t="s">
        <v>41</v>
      </c>
      <c r="N467" t="s">
        <v>41</v>
      </c>
      <c r="O467" t="s">
        <v>42</v>
      </c>
      <c r="P467" t="s">
        <v>52</v>
      </c>
      <c r="Q467" t="s">
        <v>138</v>
      </c>
      <c r="R467" t="s">
        <v>114</v>
      </c>
      <c r="S467">
        <f>IF(enquiry_analysis_data[[#This Row],[enquiry_status]]="Converted",1,0)</f>
        <v>0</v>
      </c>
      <c r="T467" t="s">
        <v>28</v>
      </c>
    </row>
    <row r="468" spans="1:20" x14ac:dyDescent="0.3">
      <c r="A468">
        <v>332</v>
      </c>
      <c r="B468" s="1">
        <v>46247.289456018516</v>
      </c>
      <c r="C468" s="1" t="str">
        <f>TEXT(enquiry_analysis_data[[#This Row],[enquiry_date]],"mmmm-yyyy")</f>
        <v>August-2026</v>
      </c>
      <c r="D468">
        <f>YEAR(enquiry_analysis_data[[#This Row],[enquiry_date]])</f>
        <v>2026</v>
      </c>
      <c r="E468">
        <f>MONTH(enquiry_analysis_data[[#This Row],[enquiry_date]])</f>
        <v>8</v>
      </c>
      <c r="F468" t="s">
        <v>412</v>
      </c>
      <c r="G468" t="s">
        <v>870</v>
      </c>
      <c r="H468" s="2">
        <v>9000000329</v>
      </c>
      <c r="I468" t="s">
        <v>31</v>
      </c>
      <c r="J468" t="s">
        <v>128</v>
      </c>
      <c r="K468" t="s">
        <v>67</v>
      </c>
      <c r="L468" t="s">
        <v>50</v>
      </c>
      <c r="M468" t="s">
        <v>51</v>
      </c>
      <c r="N468" t="s">
        <v>23</v>
      </c>
      <c r="O468" t="s">
        <v>24</v>
      </c>
      <c r="P468" t="s">
        <v>36</v>
      </c>
      <c r="Q468" t="s">
        <v>26</v>
      </c>
      <c r="R468" t="s">
        <v>194</v>
      </c>
      <c r="S468">
        <f>IF(enquiry_analysis_data[[#This Row],[enquiry_status]]="Converted",1,0)</f>
        <v>0</v>
      </c>
      <c r="T468" t="s">
        <v>28</v>
      </c>
    </row>
    <row r="469" spans="1:20" x14ac:dyDescent="0.3">
      <c r="A469">
        <v>96</v>
      </c>
      <c r="B469" s="1">
        <v>46248.026076388887</v>
      </c>
      <c r="C469" s="1" t="str">
        <f>TEXT(enquiry_analysis_data[[#This Row],[enquiry_date]],"mmmm-yyyy")</f>
        <v>August-2026</v>
      </c>
      <c r="D469">
        <f>YEAR(enquiry_analysis_data[[#This Row],[enquiry_date]])</f>
        <v>2026</v>
      </c>
      <c r="E469">
        <f>MONTH(enquiry_analysis_data[[#This Row],[enquiry_date]])</f>
        <v>8</v>
      </c>
      <c r="F469" t="s">
        <v>139</v>
      </c>
      <c r="G469" t="s">
        <v>871</v>
      </c>
      <c r="H469" s="2">
        <v>9000000093</v>
      </c>
      <c r="I469" t="s">
        <v>88</v>
      </c>
      <c r="J469" t="s">
        <v>128</v>
      </c>
      <c r="K469" t="s">
        <v>33</v>
      </c>
      <c r="L469" t="s">
        <v>144</v>
      </c>
      <c r="M469" t="s">
        <v>145</v>
      </c>
      <c r="N469" t="s">
        <v>101</v>
      </c>
      <c r="O469" t="s">
        <v>42</v>
      </c>
      <c r="P469" t="s">
        <v>43</v>
      </c>
      <c r="Q469" t="s">
        <v>141</v>
      </c>
      <c r="R469" t="s">
        <v>56</v>
      </c>
      <c r="S469">
        <f>IF(enquiry_analysis_data[[#This Row],[enquiry_status]]="Converted",1,0)</f>
        <v>0</v>
      </c>
      <c r="T469" t="s">
        <v>28</v>
      </c>
    </row>
    <row r="470" spans="1:20" x14ac:dyDescent="0.3">
      <c r="A470">
        <v>228</v>
      </c>
      <c r="B470" s="1">
        <v>46248.687650462962</v>
      </c>
      <c r="C470" s="1" t="str">
        <f>TEXT(enquiry_analysis_data[[#This Row],[enquiry_date]],"mmmm-yyyy")</f>
        <v>August-2026</v>
      </c>
      <c r="D470">
        <f>YEAR(enquiry_analysis_data[[#This Row],[enquiry_date]])</f>
        <v>2026</v>
      </c>
      <c r="E470">
        <f>MONTH(enquiry_analysis_data[[#This Row],[enquiry_date]])</f>
        <v>8</v>
      </c>
      <c r="F470" t="s">
        <v>592</v>
      </c>
      <c r="G470" t="s">
        <v>872</v>
      </c>
      <c r="H470" s="2">
        <v>9000000225</v>
      </c>
      <c r="I470" t="s">
        <v>123</v>
      </c>
      <c r="J470" t="s">
        <v>19</v>
      </c>
      <c r="K470" t="s">
        <v>67</v>
      </c>
      <c r="L470" t="s">
        <v>21</v>
      </c>
      <c r="M470" t="s">
        <v>22</v>
      </c>
      <c r="N470" t="s">
        <v>23</v>
      </c>
      <c r="O470" t="s">
        <v>42</v>
      </c>
      <c r="P470" t="s">
        <v>52</v>
      </c>
      <c r="Q470" t="s">
        <v>141</v>
      </c>
      <c r="R470" t="s">
        <v>27</v>
      </c>
      <c r="S470">
        <f>IF(enquiry_analysis_data[[#This Row],[enquiry_status]]="Converted",1,0)</f>
        <v>0</v>
      </c>
      <c r="T470" t="s">
        <v>28</v>
      </c>
    </row>
    <row r="471" spans="1:20" x14ac:dyDescent="0.3">
      <c r="A471">
        <v>33</v>
      </c>
      <c r="B471" s="1">
        <v>46250.385162037041</v>
      </c>
      <c r="C471" s="1" t="str">
        <f>TEXT(enquiry_analysis_data[[#This Row],[enquiry_date]],"mmmm-yyyy")</f>
        <v>August-2026</v>
      </c>
      <c r="D471">
        <f>YEAR(enquiry_analysis_data[[#This Row],[enquiry_date]])</f>
        <v>2026</v>
      </c>
      <c r="E471">
        <f>MONTH(enquiry_analysis_data[[#This Row],[enquiry_date]])</f>
        <v>8</v>
      </c>
      <c r="F471" t="s">
        <v>281</v>
      </c>
      <c r="G471" t="s">
        <v>873</v>
      </c>
      <c r="H471" s="2">
        <v>9000000030</v>
      </c>
      <c r="I471" t="s">
        <v>93</v>
      </c>
      <c r="J471" t="s">
        <v>49</v>
      </c>
      <c r="K471" t="s">
        <v>20</v>
      </c>
      <c r="L471" t="s">
        <v>154</v>
      </c>
      <c r="M471" t="s">
        <v>155</v>
      </c>
      <c r="N471" t="s">
        <v>156</v>
      </c>
      <c r="O471" t="s">
        <v>42</v>
      </c>
      <c r="P471" t="s">
        <v>25</v>
      </c>
      <c r="Q471" t="s">
        <v>141</v>
      </c>
      <c r="R471" t="s">
        <v>56</v>
      </c>
      <c r="S471">
        <f>IF(enquiry_analysis_data[[#This Row],[enquiry_status]]="Converted",1,0)</f>
        <v>0</v>
      </c>
      <c r="T471" t="s">
        <v>28</v>
      </c>
    </row>
    <row r="472" spans="1:20" x14ac:dyDescent="0.3">
      <c r="A472">
        <v>84</v>
      </c>
      <c r="B472" s="1">
        <v>46250.708298611113</v>
      </c>
      <c r="C472" s="1" t="str">
        <f>TEXT(enquiry_analysis_data[[#This Row],[enquiry_date]],"mmmm-yyyy")</f>
        <v>August-2026</v>
      </c>
      <c r="D472">
        <f>YEAR(enquiry_analysis_data[[#This Row],[enquiry_date]])</f>
        <v>2026</v>
      </c>
      <c r="E472">
        <f>MONTH(enquiry_analysis_data[[#This Row],[enquiry_date]])</f>
        <v>8</v>
      </c>
      <c r="F472" t="s">
        <v>874</v>
      </c>
      <c r="G472" t="s">
        <v>875</v>
      </c>
      <c r="H472" s="2">
        <v>9000000081</v>
      </c>
      <c r="I472" t="s">
        <v>48</v>
      </c>
      <c r="J472" t="s">
        <v>19</v>
      </c>
      <c r="K472" t="s">
        <v>33</v>
      </c>
      <c r="L472" t="s">
        <v>50</v>
      </c>
      <c r="M472" t="s">
        <v>51</v>
      </c>
      <c r="N472" t="s">
        <v>23</v>
      </c>
      <c r="O472" t="s">
        <v>42</v>
      </c>
      <c r="P472" t="s">
        <v>52</v>
      </c>
      <c r="Q472" t="s">
        <v>138</v>
      </c>
      <c r="R472" t="s">
        <v>114</v>
      </c>
      <c r="S472">
        <f>IF(enquiry_analysis_data[[#This Row],[enquiry_status]]="Converted",1,0)</f>
        <v>0</v>
      </c>
      <c r="T472" t="s">
        <v>28</v>
      </c>
    </row>
    <row r="473" spans="1:20" x14ac:dyDescent="0.3">
      <c r="A473">
        <v>425</v>
      </c>
      <c r="B473" s="1">
        <v>46252.565243055556</v>
      </c>
      <c r="C473" s="1" t="str">
        <f>TEXT(enquiry_analysis_data[[#This Row],[enquiry_date]],"mmmm-yyyy")</f>
        <v>August-2026</v>
      </c>
      <c r="D473">
        <f>YEAR(enquiry_analysis_data[[#This Row],[enquiry_date]])</f>
        <v>2026</v>
      </c>
      <c r="E473">
        <f>MONTH(enquiry_analysis_data[[#This Row],[enquiry_date]])</f>
        <v>8</v>
      </c>
      <c r="F473" t="s">
        <v>237</v>
      </c>
      <c r="G473" t="s">
        <v>876</v>
      </c>
      <c r="H473" s="2">
        <v>9000000422</v>
      </c>
      <c r="I473" t="s">
        <v>88</v>
      </c>
      <c r="J473" t="s">
        <v>128</v>
      </c>
      <c r="K473" t="s">
        <v>67</v>
      </c>
      <c r="L473" t="s">
        <v>154</v>
      </c>
      <c r="M473" t="s">
        <v>155</v>
      </c>
      <c r="N473" t="s">
        <v>156</v>
      </c>
      <c r="O473" t="s">
        <v>24</v>
      </c>
      <c r="P473" t="s">
        <v>52</v>
      </c>
      <c r="Q473" t="s">
        <v>138</v>
      </c>
      <c r="R473" t="s">
        <v>68</v>
      </c>
      <c r="S473">
        <f>IF(enquiry_analysis_data[[#This Row],[enquiry_status]]="Converted",1,0)</f>
        <v>1</v>
      </c>
      <c r="T473" t="s">
        <v>28</v>
      </c>
    </row>
    <row r="474" spans="1:20" x14ac:dyDescent="0.3">
      <c r="A474">
        <v>90</v>
      </c>
      <c r="B474" s="1">
        <v>46254.392997685187</v>
      </c>
      <c r="C474" s="1" t="str">
        <f>TEXT(enquiry_analysis_data[[#This Row],[enquiry_date]],"mmmm-yyyy")</f>
        <v>August-2026</v>
      </c>
      <c r="D474">
        <f>YEAR(enquiry_analysis_data[[#This Row],[enquiry_date]])</f>
        <v>2026</v>
      </c>
      <c r="E474">
        <f>MONTH(enquiry_analysis_data[[#This Row],[enquiry_date]])</f>
        <v>8</v>
      </c>
      <c r="F474" t="s">
        <v>621</v>
      </c>
      <c r="G474" t="s">
        <v>877</v>
      </c>
      <c r="H474" s="2">
        <v>9000000087</v>
      </c>
      <c r="I474" t="s">
        <v>93</v>
      </c>
      <c r="J474" t="s">
        <v>19</v>
      </c>
      <c r="K474" t="s">
        <v>20</v>
      </c>
      <c r="L474" t="s">
        <v>40</v>
      </c>
      <c r="M474" t="s">
        <v>41</v>
      </c>
      <c r="N474" t="s">
        <v>41</v>
      </c>
      <c r="O474" t="s">
        <v>42</v>
      </c>
      <c r="P474" t="s">
        <v>25</v>
      </c>
      <c r="Q474" t="s">
        <v>53</v>
      </c>
      <c r="R474" t="s">
        <v>68</v>
      </c>
      <c r="S474">
        <f>IF(enquiry_analysis_data[[#This Row],[enquiry_status]]="Converted",1,0)</f>
        <v>1</v>
      </c>
      <c r="T474" t="s">
        <v>28</v>
      </c>
    </row>
    <row r="475" spans="1:20" x14ac:dyDescent="0.3">
      <c r="A475">
        <v>160</v>
      </c>
      <c r="B475" s="1">
        <v>46255.461354166669</v>
      </c>
      <c r="C475" s="1" t="str">
        <f>TEXT(enquiry_analysis_data[[#This Row],[enquiry_date]],"mmmm-yyyy")</f>
        <v>August-2026</v>
      </c>
      <c r="D475">
        <f>YEAR(enquiry_analysis_data[[#This Row],[enquiry_date]])</f>
        <v>2026</v>
      </c>
      <c r="E475">
        <f>MONTH(enquiry_analysis_data[[#This Row],[enquiry_date]])</f>
        <v>8</v>
      </c>
      <c r="F475" t="s">
        <v>878</v>
      </c>
      <c r="G475" t="s">
        <v>879</v>
      </c>
      <c r="H475" s="2">
        <v>9000000157</v>
      </c>
      <c r="I475" t="s">
        <v>88</v>
      </c>
      <c r="J475" t="s">
        <v>19</v>
      </c>
      <c r="K475" t="s">
        <v>33</v>
      </c>
      <c r="L475" t="s">
        <v>111</v>
      </c>
      <c r="M475" t="s">
        <v>112</v>
      </c>
      <c r="N475" t="s">
        <v>113</v>
      </c>
      <c r="O475" t="s">
        <v>24</v>
      </c>
      <c r="P475" t="s">
        <v>52</v>
      </c>
      <c r="Q475" t="s">
        <v>63</v>
      </c>
      <c r="R475" t="s">
        <v>68</v>
      </c>
      <c r="S475">
        <f>IF(enquiry_analysis_data[[#This Row],[enquiry_status]]="Converted",1,0)</f>
        <v>1</v>
      </c>
      <c r="T475" t="s">
        <v>28</v>
      </c>
    </row>
    <row r="476" spans="1:20" x14ac:dyDescent="0.3">
      <c r="A476">
        <v>477</v>
      </c>
      <c r="B476" s="1">
        <v>46256.49050925926</v>
      </c>
      <c r="C476" s="1" t="str">
        <f>TEXT(enquiry_analysis_data[[#This Row],[enquiry_date]],"mmmm-yyyy")</f>
        <v>August-2026</v>
      </c>
      <c r="D476">
        <f>YEAR(enquiry_analysis_data[[#This Row],[enquiry_date]])</f>
        <v>2026</v>
      </c>
      <c r="E476">
        <f>MONTH(enquiry_analysis_data[[#This Row],[enquiry_date]])</f>
        <v>8</v>
      </c>
      <c r="F476" t="s">
        <v>880</v>
      </c>
      <c r="G476" t="s">
        <v>881</v>
      </c>
      <c r="H476" s="2">
        <v>9000000474</v>
      </c>
      <c r="I476" t="s">
        <v>93</v>
      </c>
      <c r="J476" t="s">
        <v>128</v>
      </c>
      <c r="K476" t="s">
        <v>20</v>
      </c>
      <c r="L476" t="s">
        <v>111</v>
      </c>
      <c r="M476" t="s">
        <v>112</v>
      </c>
      <c r="N476" t="s">
        <v>113</v>
      </c>
      <c r="O476" t="s">
        <v>24</v>
      </c>
      <c r="P476" t="s">
        <v>25</v>
      </c>
      <c r="Q476" t="s">
        <v>53</v>
      </c>
      <c r="R476" t="s">
        <v>27</v>
      </c>
      <c r="S476">
        <f>IF(enquiry_analysis_data[[#This Row],[enquiry_status]]="Converted",1,0)</f>
        <v>0</v>
      </c>
      <c r="T476" t="s">
        <v>28</v>
      </c>
    </row>
    <row r="477" spans="1:20" x14ac:dyDescent="0.3">
      <c r="A477">
        <v>151</v>
      </c>
      <c r="B477" s="1">
        <v>46260.029363425929</v>
      </c>
      <c r="C477" s="1" t="str">
        <f>TEXT(enquiry_analysis_data[[#This Row],[enquiry_date]],"mmmm-yyyy")</f>
        <v>August-2026</v>
      </c>
      <c r="D477">
        <f>YEAR(enquiry_analysis_data[[#This Row],[enquiry_date]])</f>
        <v>2026</v>
      </c>
      <c r="E477">
        <f>MONTH(enquiry_analysis_data[[#This Row],[enquiry_date]])</f>
        <v>8</v>
      </c>
      <c r="F477" t="s">
        <v>882</v>
      </c>
      <c r="G477" t="s">
        <v>883</v>
      </c>
      <c r="H477" s="2">
        <v>9000000148</v>
      </c>
      <c r="I477" t="s">
        <v>71</v>
      </c>
      <c r="J477" t="s">
        <v>128</v>
      </c>
      <c r="K477" t="s">
        <v>33</v>
      </c>
      <c r="L477" t="s">
        <v>72</v>
      </c>
      <c r="M477" t="s">
        <v>73</v>
      </c>
      <c r="N477" t="s">
        <v>74</v>
      </c>
      <c r="O477" t="s">
        <v>24</v>
      </c>
      <c r="P477" t="s">
        <v>52</v>
      </c>
      <c r="Q477" t="s">
        <v>44</v>
      </c>
      <c r="R477" t="s">
        <v>56</v>
      </c>
      <c r="S477">
        <f>IF(enquiry_analysis_data[[#This Row],[enquiry_status]]="Converted",1,0)</f>
        <v>0</v>
      </c>
      <c r="T477" t="s">
        <v>28</v>
      </c>
    </row>
    <row r="478" spans="1:20" x14ac:dyDescent="0.3">
      <c r="A478">
        <v>53</v>
      </c>
      <c r="B478" s="1">
        <v>46260.758194444446</v>
      </c>
      <c r="C478" s="1" t="str">
        <f>TEXT(enquiry_analysis_data[[#This Row],[enquiry_date]],"mmmm-yyyy")</f>
        <v>August-2026</v>
      </c>
      <c r="D478">
        <f>YEAR(enquiry_analysis_data[[#This Row],[enquiry_date]])</f>
        <v>2026</v>
      </c>
      <c r="E478">
        <f>MONTH(enquiry_analysis_data[[#This Row],[enquiry_date]])</f>
        <v>8</v>
      </c>
      <c r="F478" t="s">
        <v>884</v>
      </c>
      <c r="G478" t="s">
        <v>885</v>
      </c>
      <c r="H478" s="2">
        <v>9000000050</v>
      </c>
      <c r="I478" t="s">
        <v>71</v>
      </c>
      <c r="J478" t="s">
        <v>49</v>
      </c>
      <c r="K478" t="s">
        <v>33</v>
      </c>
      <c r="L478" t="s">
        <v>106</v>
      </c>
      <c r="M478" t="s">
        <v>107</v>
      </c>
      <c r="N478" t="s">
        <v>108</v>
      </c>
      <c r="O478" t="s">
        <v>42</v>
      </c>
      <c r="P478" t="s">
        <v>43</v>
      </c>
      <c r="Q478" t="s">
        <v>26</v>
      </c>
      <c r="R478" t="s">
        <v>45</v>
      </c>
      <c r="S478">
        <f>IF(enquiry_analysis_data[[#This Row],[enquiry_status]]="Converted",1,0)</f>
        <v>0</v>
      </c>
      <c r="T478" t="s">
        <v>28</v>
      </c>
    </row>
    <row r="479" spans="1:20" x14ac:dyDescent="0.3">
      <c r="A479">
        <v>413</v>
      </c>
      <c r="B479" s="1">
        <v>46261.037418981483</v>
      </c>
      <c r="C479" s="1" t="str">
        <f>TEXT(enquiry_analysis_data[[#This Row],[enquiry_date]],"mmmm-yyyy")</f>
        <v>August-2026</v>
      </c>
      <c r="D479">
        <f>YEAR(enquiry_analysis_data[[#This Row],[enquiry_date]])</f>
        <v>2026</v>
      </c>
      <c r="E479">
        <f>MONTH(enquiry_analysis_data[[#This Row],[enquiry_date]])</f>
        <v>8</v>
      </c>
      <c r="F479" t="s">
        <v>886</v>
      </c>
      <c r="G479" t="s">
        <v>887</v>
      </c>
      <c r="H479" s="2">
        <v>9000000410</v>
      </c>
      <c r="I479" t="s">
        <v>93</v>
      </c>
      <c r="J479" t="s">
        <v>19</v>
      </c>
      <c r="K479" t="s">
        <v>33</v>
      </c>
      <c r="L479" t="s">
        <v>99</v>
      </c>
      <c r="M479" t="s">
        <v>100</v>
      </c>
      <c r="N479" t="s">
        <v>101</v>
      </c>
      <c r="O479" t="s">
        <v>42</v>
      </c>
      <c r="P479" t="s">
        <v>43</v>
      </c>
      <c r="Q479" t="s">
        <v>26</v>
      </c>
      <c r="R479" t="s">
        <v>27</v>
      </c>
      <c r="S479">
        <f>IF(enquiry_analysis_data[[#This Row],[enquiry_status]]="Converted",1,0)</f>
        <v>0</v>
      </c>
      <c r="T479" t="s">
        <v>28</v>
      </c>
    </row>
    <row r="480" spans="1:20" x14ac:dyDescent="0.3">
      <c r="A480">
        <v>486</v>
      </c>
      <c r="B480" s="1">
        <v>46263.233356481483</v>
      </c>
      <c r="C480" s="1" t="str">
        <f>TEXT(enquiry_analysis_data[[#This Row],[enquiry_date]],"mmmm-yyyy")</f>
        <v>August-2026</v>
      </c>
      <c r="D480">
        <f>YEAR(enquiry_analysis_data[[#This Row],[enquiry_date]])</f>
        <v>2026</v>
      </c>
      <c r="E480">
        <f>MONTH(enquiry_analysis_data[[#This Row],[enquiry_date]])</f>
        <v>8</v>
      </c>
      <c r="F480" t="s">
        <v>888</v>
      </c>
      <c r="G480" t="s">
        <v>889</v>
      </c>
      <c r="H480" s="2">
        <v>9000000483</v>
      </c>
      <c r="I480" t="s">
        <v>59</v>
      </c>
      <c r="J480" t="s">
        <v>32</v>
      </c>
      <c r="K480" t="s">
        <v>33</v>
      </c>
      <c r="L480" t="s">
        <v>78</v>
      </c>
      <c r="M480" t="s">
        <v>79</v>
      </c>
      <c r="N480" t="s">
        <v>80</v>
      </c>
      <c r="O480" t="s">
        <v>24</v>
      </c>
      <c r="P480" t="s">
        <v>43</v>
      </c>
      <c r="Q480" t="s">
        <v>26</v>
      </c>
      <c r="R480" t="s">
        <v>114</v>
      </c>
      <c r="S480">
        <f>IF(enquiry_analysis_data[[#This Row],[enquiry_status]]="Converted",1,0)</f>
        <v>0</v>
      </c>
      <c r="T480" t="s">
        <v>28</v>
      </c>
    </row>
    <row r="481" spans="1:20" x14ac:dyDescent="0.3">
      <c r="A481">
        <v>119</v>
      </c>
      <c r="B481" s="1">
        <v>46263.552939814814</v>
      </c>
      <c r="C481" s="1" t="str">
        <f>TEXT(enquiry_analysis_data[[#This Row],[enquiry_date]],"mmmm-yyyy")</f>
        <v>August-2026</v>
      </c>
      <c r="D481">
        <f>YEAR(enquiry_analysis_data[[#This Row],[enquiry_date]])</f>
        <v>2026</v>
      </c>
      <c r="E481">
        <f>MONTH(enquiry_analysis_data[[#This Row],[enquiry_date]])</f>
        <v>8</v>
      </c>
      <c r="F481" t="s">
        <v>404</v>
      </c>
      <c r="G481" t="s">
        <v>890</v>
      </c>
      <c r="H481" s="2">
        <v>9000000116</v>
      </c>
      <c r="I481" t="s">
        <v>123</v>
      </c>
      <c r="J481" t="s">
        <v>37</v>
      </c>
      <c r="K481" t="s">
        <v>67</v>
      </c>
      <c r="L481" t="s">
        <v>78</v>
      </c>
      <c r="M481" t="s">
        <v>79</v>
      </c>
      <c r="N481" t="s">
        <v>80</v>
      </c>
      <c r="O481" t="s">
        <v>42</v>
      </c>
      <c r="P481" t="s">
        <v>36</v>
      </c>
      <c r="Q481" t="s">
        <v>63</v>
      </c>
      <c r="R481" t="s">
        <v>194</v>
      </c>
      <c r="S481">
        <f>IF(enquiry_analysis_data[[#This Row],[enquiry_status]]="Converted",1,0)</f>
        <v>0</v>
      </c>
      <c r="T481" t="s">
        <v>28</v>
      </c>
    </row>
    <row r="482" spans="1:20" x14ac:dyDescent="0.3">
      <c r="A482">
        <v>204</v>
      </c>
      <c r="B482" s="1">
        <v>46263.573530092595</v>
      </c>
      <c r="C482" s="1" t="str">
        <f>TEXT(enquiry_analysis_data[[#This Row],[enquiry_date]],"mmmm-yyyy")</f>
        <v>August-2026</v>
      </c>
      <c r="D482">
        <f>YEAR(enquiry_analysis_data[[#This Row],[enquiry_date]])</f>
        <v>2026</v>
      </c>
      <c r="E482">
        <f>MONTH(enquiry_analysis_data[[#This Row],[enquiry_date]])</f>
        <v>8</v>
      </c>
      <c r="F482" t="s">
        <v>891</v>
      </c>
      <c r="G482" t="s">
        <v>892</v>
      </c>
      <c r="H482" s="2">
        <v>9000000201</v>
      </c>
      <c r="I482" t="s">
        <v>88</v>
      </c>
      <c r="J482" t="s">
        <v>19</v>
      </c>
      <c r="K482" t="s">
        <v>20</v>
      </c>
      <c r="L482" t="s">
        <v>34</v>
      </c>
      <c r="M482" t="s">
        <v>35</v>
      </c>
      <c r="N482" t="s">
        <v>35</v>
      </c>
      <c r="O482" t="s">
        <v>24</v>
      </c>
      <c r="P482" t="s">
        <v>36</v>
      </c>
      <c r="Q482" t="s">
        <v>141</v>
      </c>
      <c r="R482" t="s">
        <v>56</v>
      </c>
      <c r="S482">
        <f>IF(enquiry_analysis_data[[#This Row],[enquiry_status]]="Converted",1,0)</f>
        <v>0</v>
      </c>
      <c r="T482" t="s">
        <v>28</v>
      </c>
    </row>
    <row r="483" spans="1:20" x14ac:dyDescent="0.3">
      <c r="A483">
        <v>308</v>
      </c>
      <c r="B483" s="1">
        <v>46264.454768518517</v>
      </c>
      <c r="C483" s="1" t="str">
        <f>TEXT(enquiry_analysis_data[[#This Row],[enquiry_date]],"mmmm-yyyy")</f>
        <v>August-2026</v>
      </c>
      <c r="D483">
        <f>YEAR(enquiry_analysis_data[[#This Row],[enquiry_date]])</f>
        <v>2026</v>
      </c>
      <c r="E483">
        <f>MONTH(enquiry_analysis_data[[#This Row],[enquiry_date]])</f>
        <v>8</v>
      </c>
      <c r="F483" t="s">
        <v>893</v>
      </c>
      <c r="G483" t="s">
        <v>894</v>
      </c>
      <c r="H483" s="2">
        <v>9000000305</v>
      </c>
      <c r="I483" t="s">
        <v>31</v>
      </c>
      <c r="J483" t="s">
        <v>19</v>
      </c>
      <c r="K483" t="s">
        <v>33</v>
      </c>
      <c r="L483" t="s">
        <v>21</v>
      </c>
      <c r="M483" t="s">
        <v>22</v>
      </c>
      <c r="N483" t="s">
        <v>23</v>
      </c>
      <c r="O483" t="s">
        <v>24</v>
      </c>
      <c r="P483" t="s">
        <v>36</v>
      </c>
      <c r="Q483" t="s">
        <v>138</v>
      </c>
      <c r="R483" t="s">
        <v>114</v>
      </c>
      <c r="S483">
        <f>IF(enquiry_analysis_data[[#This Row],[enquiry_status]]="Converted",1,0)</f>
        <v>0</v>
      </c>
      <c r="T483" t="s">
        <v>28</v>
      </c>
    </row>
    <row r="484" spans="1:20" x14ac:dyDescent="0.3">
      <c r="A484">
        <v>126</v>
      </c>
      <c r="B484" s="1">
        <v>46265.237939814811</v>
      </c>
      <c r="C484" s="1" t="str">
        <f>TEXT(enquiry_analysis_data[[#This Row],[enquiry_date]],"mmmm-yyyy")</f>
        <v>August-2026</v>
      </c>
      <c r="D484">
        <f>YEAR(enquiry_analysis_data[[#This Row],[enquiry_date]])</f>
        <v>2026</v>
      </c>
      <c r="E484">
        <f>MONTH(enquiry_analysis_data[[#This Row],[enquiry_date]])</f>
        <v>8</v>
      </c>
      <c r="F484" t="s">
        <v>424</v>
      </c>
      <c r="G484" t="s">
        <v>895</v>
      </c>
      <c r="H484" s="2">
        <v>9000000123</v>
      </c>
      <c r="I484" t="s">
        <v>123</v>
      </c>
      <c r="J484" t="s">
        <v>128</v>
      </c>
      <c r="K484" t="s">
        <v>67</v>
      </c>
      <c r="L484" t="s">
        <v>99</v>
      </c>
      <c r="M484" t="s">
        <v>100</v>
      </c>
      <c r="N484" t="s">
        <v>101</v>
      </c>
      <c r="O484" t="s">
        <v>42</v>
      </c>
      <c r="P484" t="s">
        <v>36</v>
      </c>
      <c r="Q484" t="s">
        <v>141</v>
      </c>
      <c r="R484" t="s">
        <v>194</v>
      </c>
      <c r="S484">
        <f>IF(enquiry_analysis_data[[#This Row],[enquiry_status]]="Converted",1,0)</f>
        <v>0</v>
      </c>
      <c r="T484" t="s">
        <v>28</v>
      </c>
    </row>
    <row r="485" spans="1:20" x14ac:dyDescent="0.3">
      <c r="A485">
        <v>368</v>
      </c>
      <c r="B485" s="1">
        <v>46269.572002314817</v>
      </c>
      <c r="C485" s="1" t="str">
        <f>TEXT(enquiry_analysis_data[[#This Row],[enquiry_date]],"mmmm-yyyy")</f>
        <v>September-2026</v>
      </c>
      <c r="D485">
        <f>YEAR(enquiry_analysis_data[[#This Row],[enquiry_date]])</f>
        <v>2026</v>
      </c>
      <c r="E485">
        <f>MONTH(enquiry_analysis_data[[#This Row],[enquiry_date]])</f>
        <v>9</v>
      </c>
      <c r="F485" t="s">
        <v>522</v>
      </c>
      <c r="G485" t="s">
        <v>896</v>
      </c>
      <c r="H485" s="2">
        <v>9000000365</v>
      </c>
      <c r="I485" t="s">
        <v>48</v>
      </c>
      <c r="J485" t="s">
        <v>19</v>
      </c>
      <c r="K485" t="s">
        <v>33</v>
      </c>
      <c r="L485" t="s">
        <v>60</v>
      </c>
      <c r="M485" t="s">
        <v>61</v>
      </c>
      <c r="N485" t="s">
        <v>62</v>
      </c>
      <c r="O485" t="s">
        <v>42</v>
      </c>
      <c r="P485" t="s">
        <v>43</v>
      </c>
      <c r="Q485" t="s">
        <v>26</v>
      </c>
      <c r="R485" t="s">
        <v>194</v>
      </c>
      <c r="S485">
        <f>IF(enquiry_analysis_data[[#This Row],[enquiry_status]]="Converted",1,0)</f>
        <v>0</v>
      </c>
      <c r="T485" t="s">
        <v>28</v>
      </c>
    </row>
    <row r="486" spans="1:20" x14ac:dyDescent="0.3">
      <c r="A486">
        <v>497</v>
      </c>
      <c r="B486" s="1">
        <v>46270.576261574075</v>
      </c>
      <c r="C486" s="1" t="str">
        <f>TEXT(enquiry_analysis_data[[#This Row],[enquiry_date]],"mmmm-yyyy")</f>
        <v>September-2026</v>
      </c>
      <c r="D486">
        <f>YEAR(enquiry_analysis_data[[#This Row],[enquiry_date]])</f>
        <v>2026</v>
      </c>
      <c r="E486">
        <f>MONTH(enquiry_analysis_data[[#This Row],[enquiry_date]])</f>
        <v>9</v>
      </c>
      <c r="F486" t="s">
        <v>897</v>
      </c>
      <c r="G486" t="s">
        <v>898</v>
      </c>
      <c r="H486" s="2">
        <v>9000000494</v>
      </c>
      <c r="I486" t="s">
        <v>48</v>
      </c>
      <c r="J486" t="s">
        <v>19</v>
      </c>
      <c r="K486" t="s">
        <v>67</v>
      </c>
      <c r="L486" t="s">
        <v>72</v>
      </c>
      <c r="M486" t="s">
        <v>73</v>
      </c>
      <c r="N486" t="s">
        <v>74</v>
      </c>
      <c r="O486" t="s">
        <v>42</v>
      </c>
      <c r="P486" t="s">
        <v>25</v>
      </c>
      <c r="Q486" t="s">
        <v>83</v>
      </c>
      <c r="R486" t="s">
        <v>27</v>
      </c>
      <c r="S486">
        <f>IF(enquiry_analysis_data[[#This Row],[enquiry_status]]="Converted",1,0)</f>
        <v>0</v>
      </c>
      <c r="T486" t="s">
        <v>28</v>
      </c>
    </row>
    <row r="487" spans="1:20" x14ac:dyDescent="0.3">
      <c r="A487">
        <v>51</v>
      </c>
      <c r="B487" s="1">
        <v>46271.990937499999</v>
      </c>
      <c r="C487" s="1" t="str">
        <f>TEXT(enquiry_analysis_data[[#This Row],[enquiry_date]],"mmmm-yyyy")</f>
        <v>September-2026</v>
      </c>
      <c r="D487">
        <f>YEAR(enquiry_analysis_data[[#This Row],[enquiry_date]])</f>
        <v>2026</v>
      </c>
      <c r="E487">
        <f>MONTH(enquiry_analysis_data[[#This Row],[enquiry_date]])</f>
        <v>9</v>
      </c>
      <c r="F487" t="s">
        <v>822</v>
      </c>
      <c r="G487" t="s">
        <v>899</v>
      </c>
      <c r="H487" s="2">
        <v>9000000048</v>
      </c>
      <c r="I487" t="s">
        <v>71</v>
      </c>
      <c r="J487" t="s">
        <v>104</v>
      </c>
      <c r="K487" t="s">
        <v>105</v>
      </c>
      <c r="L487" t="s">
        <v>144</v>
      </c>
      <c r="M487" t="s">
        <v>145</v>
      </c>
      <c r="N487" t="s">
        <v>101</v>
      </c>
      <c r="O487" t="s">
        <v>42</v>
      </c>
      <c r="P487" t="s">
        <v>52</v>
      </c>
      <c r="Q487" t="s">
        <v>26</v>
      </c>
      <c r="R487" t="s">
        <v>68</v>
      </c>
      <c r="S487">
        <f>IF(enquiry_analysis_data[[#This Row],[enquiry_status]]="Converted",1,0)</f>
        <v>1</v>
      </c>
      <c r="T487" t="s">
        <v>28</v>
      </c>
    </row>
    <row r="488" spans="1:20" x14ac:dyDescent="0.3">
      <c r="A488">
        <v>120</v>
      </c>
      <c r="B488" s="1">
        <v>46272.847685185188</v>
      </c>
      <c r="C488" s="1" t="str">
        <f>TEXT(enquiry_analysis_data[[#This Row],[enquiry_date]],"mmmm-yyyy")</f>
        <v>September-2026</v>
      </c>
      <c r="D488">
        <f>YEAR(enquiry_analysis_data[[#This Row],[enquiry_date]])</f>
        <v>2026</v>
      </c>
      <c r="E488">
        <f>MONTH(enquiry_analysis_data[[#This Row],[enquiry_date]])</f>
        <v>9</v>
      </c>
      <c r="F488" t="s">
        <v>219</v>
      </c>
      <c r="G488" t="s">
        <v>900</v>
      </c>
      <c r="H488" s="2">
        <v>9000000117</v>
      </c>
      <c r="I488" t="s">
        <v>66</v>
      </c>
      <c r="J488" t="s">
        <v>19</v>
      </c>
      <c r="K488" t="s">
        <v>20</v>
      </c>
      <c r="L488" t="s">
        <v>21</v>
      </c>
      <c r="M488" t="s">
        <v>22</v>
      </c>
      <c r="N488" t="s">
        <v>23</v>
      </c>
      <c r="O488" t="s">
        <v>42</v>
      </c>
      <c r="P488" t="s">
        <v>25</v>
      </c>
      <c r="Q488" t="s">
        <v>83</v>
      </c>
      <c r="R488" t="s">
        <v>68</v>
      </c>
      <c r="S488">
        <f>IF(enquiry_analysis_data[[#This Row],[enquiry_status]]="Converted",1,0)</f>
        <v>1</v>
      </c>
      <c r="T488" t="s">
        <v>28</v>
      </c>
    </row>
    <row r="489" spans="1:20" x14ac:dyDescent="0.3">
      <c r="A489">
        <v>99</v>
      </c>
      <c r="B489" s="1">
        <v>46273.398055555554</v>
      </c>
      <c r="C489" s="1" t="str">
        <f>TEXT(enquiry_analysis_data[[#This Row],[enquiry_date]],"mmmm-yyyy")</f>
        <v>September-2026</v>
      </c>
      <c r="D489">
        <f>YEAR(enquiry_analysis_data[[#This Row],[enquiry_date]])</f>
        <v>2026</v>
      </c>
      <c r="E489">
        <f>MONTH(enquiry_analysis_data[[#This Row],[enquiry_date]])</f>
        <v>9</v>
      </c>
      <c r="F489" t="s">
        <v>561</v>
      </c>
      <c r="G489" t="s">
        <v>901</v>
      </c>
      <c r="H489" s="2">
        <v>9000000096</v>
      </c>
      <c r="I489" t="s">
        <v>31</v>
      </c>
      <c r="J489" t="s">
        <v>19</v>
      </c>
      <c r="K489" t="s">
        <v>33</v>
      </c>
      <c r="L489" t="s">
        <v>154</v>
      </c>
      <c r="M489" t="s">
        <v>155</v>
      </c>
      <c r="N489" t="s">
        <v>156</v>
      </c>
      <c r="O489" t="s">
        <v>24</v>
      </c>
      <c r="P489" t="s">
        <v>25</v>
      </c>
      <c r="Q489" t="s">
        <v>138</v>
      </c>
      <c r="R489" t="s">
        <v>27</v>
      </c>
      <c r="S489">
        <f>IF(enquiry_analysis_data[[#This Row],[enquiry_status]]="Converted",1,0)</f>
        <v>0</v>
      </c>
      <c r="T489" t="s">
        <v>28</v>
      </c>
    </row>
    <row r="490" spans="1:20" x14ac:dyDescent="0.3">
      <c r="A490">
        <v>366</v>
      </c>
      <c r="B490" s="1">
        <v>46275.25986111111</v>
      </c>
      <c r="C490" s="1" t="str">
        <f>TEXT(enquiry_analysis_data[[#This Row],[enquiry_date]],"mmmm-yyyy")</f>
        <v>September-2026</v>
      </c>
      <c r="D490">
        <f>YEAR(enquiry_analysis_data[[#This Row],[enquiry_date]])</f>
        <v>2026</v>
      </c>
      <c r="E490">
        <f>MONTH(enquiry_analysis_data[[#This Row],[enquiry_date]])</f>
        <v>9</v>
      </c>
      <c r="F490" t="s">
        <v>492</v>
      </c>
      <c r="G490" t="s">
        <v>902</v>
      </c>
      <c r="H490" s="2">
        <v>9000000363</v>
      </c>
      <c r="I490" t="s">
        <v>48</v>
      </c>
      <c r="J490" t="s">
        <v>49</v>
      </c>
      <c r="K490" t="s">
        <v>105</v>
      </c>
      <c r="L490" t="s">
        <v>78</v>
      </c>
      <c r="M490" t="s">
        <v>79</v>
      </c>
      <c r="N490" t="s">
        <v>80</v>
      </c>
      <c r="O490" t="s">
        <v>24</v>
      </c>
      <c r="P490" t="s">
        <v>25</v>
      </c>
      <c r="Q490" t="s">
        <v>26</v>
      </c>
      <c r="R490" t="s">
        <v>194</v>
      </c>
      <c r="S490">
        <f>IF(enquiry_analysis_data[[#This Row],[enquiry_status]]="Converted",1,0)</f>
        <v>0</v>
      </c>
      <c r="T490" t="s">
        <v>28</v>
      </c>
    </row>
    <row r="491" spans="1:20" x14ac:dyDescent="0.3">
      <c r="A491">
        <v>273</v>
      </c>
      <c r="B491" s="1">
        <v>46275.750324074077</v>
      </c>
      <c r="C491" s="1" t="str">
        <f>TEXT(enquiry_analysis_data[[#This Row],[enquiry_date]],"mmmm-yyyy")</f>
        <v>September-2026</v>
      </c>
      <c r="D491">
        <f>YEAR(enquiry_analysis_data[[#This Row],[enquiry_date]])</f>
        <v>2026</v>
      </c>
      <c r="E491">
        <f>MONTH(enquiry_analysis_data[[#This Row],[enquiry_date]])</f>
        <v>9</v>
      </c>
      <c r="F491" t="s">
        <v>903</v>
      </c>
      <c r="G491" t="s">
        <v>904</v>
      </c>
      <c r="H491" s="2">
        <v>9000000270</v>
      </c>
      <c r="I491" t="s">
        <v>31</v>
      </c>
      <c r="J491" t="s">
        <v>37</v>
      </c>
      <c r="K491" t="s">
        <v>94</v>
      </c>
      <c r="L491" t="s">
        <v>154</v>
      </c>
      <c r="M491" t="s">
        <v>155</v>
      </c>
      <c r="N491" t="s">
        <v>156</v>
      </c>
      <c r="O491" t="s">
        <v>42</v>
      </c>
      <c r="P491" t="s">
        <v>43</v>
      </c>
      <c r="Q491" t="s">
        <v>44</v>
      </c>
      <c r="R491" t="s">
        <v>114</v>
      </c>
      <c r="S491">
        <f>IF(enquiry_analysis_data[[#This Row],[enquiry_status]]="Converted",1,0)</f>
        <v>0</v>
      </c>
      <c r="T491" t="s">
        <v>28</v>
      </c>
    </row>
    <row r="492" spans="1:20" x14ac:dyDescent="0.3">
      <c r="A492">
        <v>259</v>
      </c>
      <c r="B492" s="1">
        <v>46276.625925925924</v>
      </c>
      <c r="C492" s="1" t="str">
        <f>TEXT(enquiry_analysis_data[[#This Row],[enquiry_date]],"mmmm-yyyy")</f>
        <v>September-2026</v>
      </c>
      <c r="D492">
        <f>YEAR(enquiry_analysis_data[[#This Row],[enquiry_date]])</f>
        <v>2026</v>
      </c>
      <c r="E492">
        <f>MONTH(enquiry_analysis_data[[#This Row],[enquiry_date]])</f>
        <v>9</v>
      </c>
      <c r="F492" t="s">
        <v>905</v>
      </c>
      <c r="G492" t="s">
        <v>906</v>
      </c>
      <c r="H492" s="2">
        <v>9000000256</v>
      </c>
      <c r="I492" t="s">
        <v>66</v>
      </c>
      <c r="J492" t="s">
        <v>128</v>
      </c>
      <c r="K492" t="s">
        <v>94</v>
      </c>
      <c r="L492" t="s">
        <v>144</v>
      </c>
      <c r="M492" t="s">
        <v>145</v>
      </c>
      <c r="N492" t="s">
        <v>101</v>
      </c>
      <c r="O492" t="s">
        <v>42</v>
      </c>
      <c r="P492" t="s">
        <v>52</v>
      </c>
      <c r="Q492" t="s">
        <v>53</v>
      </c>
      <c r="R492" t="s">
        <v>27</v>
      </c>
      <c r="S492">
        <f>IF(enquiry_analysis_data[[#This Row],[enquiry_status]]="Converted",1,0)</f>
        <v>0</v>
      </c>
      <c r="T492" t="s">
        <v>28</v>
      </c>
    </row>
    <row r="493" spans="1:20" x14ac:dyDescent="0.3">
      <c r="A493">
        <v>220</v>
      </c>
      <c r="B493" s="1">
        <v>46276.652731481481</v>
      </c>
      <c r="C493" s="1" t="str">
        <f>TEXT(enquiry_analysis_data[[#This Row],[enquiry_date]],"mmmm-yyyy")</f>
        <v>September-2026</v>
      </c>
      <c r="D493">
        <f>YEAR(enquiry_analysis_data[[#This Row],[enquiry_date]])</f>
        <v>2026</v>
      </c>
      <c r="E493">
        <f>MONTH(enquiry_analysis_data[[#This Row],[enquiry_date]])</f>
        <v>9</v>
      </c>
      <c r="F493" t="s">
        <v>365</v>
      </c>
      <c r="G493" t="s">
        <v>907</v>
      </c>
      <c r="H493" s="2">
        <v>9000000217</v>
      </c>
      <c r="I493" t="s">
        <v>88</v>
      </c>
      <c r="J493" t="s">
        <v>19</v>
      </c>
      <c r="K493" t="s">
        <v>67</v>
      </c>
      <c r="L493" t="s">
        <v>144</v>
      </c>
      <c r="M493" t="s">
        <v>145</v>
      </c>
      <c r="N493" t="s">
        <v>101</v>
      </c>
      <c r="O493" t="s">
        <v>42</v>
      </c>
      <c r="P493" t="s">
        <v>25</v>
      </c>
      <c r="Q493" t="s">
        <v>26</v>
      </c>
      <c r="R493" t="s">
        <v>56</v>
      </c>
      <c r="S493">
        <f>IF(enquiry_analysis_data[[#This Row],[enquiry_status]]="Converted",1,0)</f>
        <v>0</v>
      </c>
      <c r="T493" t="s">
        <v>28</v>
      </c>
    </row>
    <row r="494" spans="1:20" x14ac:dyDescent="0.3">
      <c r="A494">
        <v>499</v>
      </c>
      <c r="B494" s="1">
        <v>46277.215462962966</v>
      </c>
      <c r="C494" s="1" t="str">
        <f>TEXT(enquiry_analysis_data[[#This Row],[enquiry_date]],"mmmm-yyyy")</f>
        <v>September-2026</v>
      </c>
      <c r="D494">
        <f>YEAR(enquiry_analysis_data[[#This Row],[enquiry_date]])</f>
        <v>2026</v>
      </c>
      <c r="E494">
        <f>MONTH(enquiry_analysis_data[[#This Row],[enquiry_date]])</f>
        <v>9</v>
      </c>
      <c r="F494" t="s">
        <v>908</v>
      </c>
      <c r="G494" t="s">
        <v>909</v>
      </c>
      <c r="H494" s="2">
        <v>9000000496</v>
      </c>
      <c r="I494" t="s">
        <v>88</v>
      </c>
      <c r="J494" t="s">
        <v>49</v>
      </c>
      <c r="K494" t="s">
        <v>105</v>
      </c>
      <c r="L494" t="s">
        <v>99</v>
      </c>
      <c r="M494" t="s">
        <v>100</v>
      </c>
      <c r="N494" t="s">
        <v>101</v>
      </c>
      <c r="O494" t="s">
        <v>42</v>
      </c>
      <c r="P494" t="s">
        <v>43</v>
      </c>
      <c r="Q494" t="s">
        <v>26</v>
      </c>
      <c r="R494" t="s">
        <v>45</v>
      </c>
      <c r="S494">
        <f>IF(enquiry_analysis_data[[#This Row],[enquiry_status]]="Converted",1,0)</f>
        <v>0</v>
      </c>
      <c r="T494" t="s">
        <v>28</v>
      </c>
    </row>
    <row r="495" spans="1:20" x14ac:dyDescent="0.3">
      <c r="A495">
        <v>334</v>
      </c>
      <c r="B495" s="1">
        <v>46277.352951388886</v>
      </c>
      <c r="C495" s="1" t="str">
        <f>TEXT(enquiry_analysis_data[[#This Row],[enquiry_date]],"mmmm-yyyy")</f>
        <v>September-2026</v>
      </c>
      <c r="D495">
        <f>YEAR(enquiry_analysis_data[[#This Row],[enquiry_date]])</f>
        <v>2026</v>
      </c>
      <c r="E495">
        <f>MONTH(enquiry_analysis_data[[#This Row],[enquiry_date]])</f>
        <v>9</v>
      </c>
      <c r="F495" t="s">
        <v>910</v>
      </c>
      <c r="G495" t="s">
        <v>911</v>
      </c>
      <c r="H495" s="2">
        <v>9000000331</v>
      </c>
      <c r="I495" t="s">
        <v>93</v>
      </c>
      <c r="J495" t="s">
        <v>128</v>
      </c>
      <c r="K495" t="s">
        <v>33</v>
      </c>
      <c r="L495" t="s">
        <v>111</v>
      </c>
      <c r="M495" t="s">
        <v>112</v>
      </c>
      <c r="N495" t="s">
        <v>113</v>
      </c>
      <c r="O495" t="s">
        <v>24</v>
      </c>
      <c r="P495" t="s">
        <v>36</v>
      </c>
      <c r="Q495" t="s">
        <v>53</v>
      </c>
      <c r="R495" t="s">
        <v>68</v>
      </c>
      <c r="S495">
        <f>IF(enquiry_analysis_data[[#This Row],[enquiry_status]]="Converted",1,0)</f>
        <v>1</v>
      </c>
      <c r="T495" t="s">
        <v>28</v>
      </c>
    </row>
    <row r="496" spans="1:20" x14ac:dyDescent="0.3">
      <c r="A496">
        <v>432</v>
      </c>
      <c r="B496" s="1">
        <v>46279.721574074072</v>
      </c>
      <c r="C496" s="1" t="str">
        <f>TEXT(enquiry_analysis_data[[#This Row],[enquiry_date]],"mmmm-yyyy")</f>
        <v>September-2026</v>
      </c>
      <c r="D496">
        <f>YEAR(enquiry_analysis_data[[#This Row],[enquiry_date]])</f>
        <v>2026</v>
      </c>
      <c r="E496">
        <f>MONTH(enquiry_analysis_data[[#This Row],[enquiry_date]])</f>
        <v>9</v>
      </c>
      <c r="F496" t="s">
        <v>467</v>
      </c>
      <c r="G496" t="s">
        <v>912</v>
      </c>
      <c r="H496" s="2">
        <v>9000000429</v>
      </c>
      <c r="I496" t="s">
        <v>59</v>
      </c>
      <c r="J496" t="s">
        <v>19</v>
      </c>
      <c r="K496" t="s">
        <v>20</v>
      </c>
      <c r="L496" t="s">
        <v>144</v>
      </c>
      <c r="M496" t="s">
        <v>145</v>
      </c>
      <c r="N496" t="s">
        <v>101</v>
      </c>
      <c r="O496" t="s">
        <v>42</v>
      </c>
      <c r="P496" t="s">
        <v>25</v>
      </c>
      <c r="Q496" t="s">
        <v>138</v>
      </c>
      <c r="R496" t="s">
        <v>68</v>
      </c>
      <c r="S496">
        <f>IF(enquiry_analysis_data[[#This Row],[enquiry_status]]="Converted",1,0)</f>
        <v>1</v>
      </c>
      <c r="T496" t="s">
        <v>28</v>
      </c>
    </row>
    <row r="497" spans="1:20" x14ac:dyDescent="0.3">
      <c r="A497">
        <v>417</v>
      </c>
      <c r="B497" s="1">
        <v>46279.782453703701</v>
      </c>
      <c r="C497" s="1" t="str">
        <f>TEXT(enquiry_analysis_data[[#This Row],[enquiry_date]],"mmmm-yyyy")</f>
        <v>September-2026</v>
      </c>
      <c r="D497">
        <f>YEAR(enquiry_analysis_data[[#This Row],[enquiry_date]])</f>
        <v>2026</v>
      </c>
      <c r="E497">
        <f>MONTH(enquiry_analysis_data[[#This Row],[enquiry_date]])</f>
        <v>9</v>
      </c>
      <c r="F497" t="s">
        <v>818</v>
      </c>
      <c r="G497" t="s">
        <v>913</v>
      </c>
      <c r="H497" s="2">
        <v>9000000414</v>
      </c>
      <c r="I497" t="s">
        <v>93</v>
      </c>
      <c r="J497" t="s">
        <v>19</v>
      </c>
      <c r="K497" t="s">
        <v>33</v>
      </c>
      <c r="L497" t="s">
        <v>78</v>
      </c>
      <c r="M497" t="s">
        <v>79</v>
      </c>
      <c r="N497" t="s">
        <v>80</v>
      </c>
      <c r="O497" t="s">
        <v>24</v>
      </c>
      <c r="P497" t="s">
        <v>36</v>
      </c>
      <c r="Q497" t="s">
        <v>26</v>
      </c>
      <c r="R497" t="s">
        <v>68</v>
      </c>
      <c r="S497">
        <f>IF(enquiry_analysis_data[[#This Row],[enquiry_status]]="Converted",1,0)</f>
        <v>1</v>
      </c>
      <c r="T497" t="s">
        <v>28</v>
      </c>
    </row>
    <row r="498" spans="1:20" x14ac:dyDescent="0.3">
      <c r="A498">
        <v>263</v>
      </c>
      <c r="B498" s="1">
        <v>46280.387812499997</v>
      </c>
      <c r="C498" s="1" t="str">
        <f>TEXT(enquiry_analysis_data[[#This Row],[enquiry_date]],"mmmm-yyyy")</f>
        <v>September-2026</v>
      </c>
      <c r="D498">
        <f>YEAR(enquiry_analysis_data[[#This Row],[enquiry_date]])</f>
        <v>2026</v>
      </c>
      <c r="E498">
        <f>MONTH(enquiry_analysis_data[[#This Row],[enquiry_date]])</f>
        <v>9</v>
      </c>
      <c r="F498" t="s">
        <v>548</v>
      </c>
      <c r="G498" t="s">
        <v>914</v>
      </c>
      <c r="H498" s="2">
        <v>9000000260</v>
      </c>
      <c r="I498" t="s">
        <v>71</v>
      </c>
      <c r="J498" t="s">
        <v>19</v>
      </c>
      <c r="K498" t="s">
        <v>20</v>
      </c>
      <c r="L498" t="s">
        <v>136</v>
      </c>
      <c r="M498" t="s">
        <v>137</v>
      </c>
      <c r="N498" t="s">
        <v>62</v>
      </c>
      <c r="O498" t="s">
        <v>42</v>
      </c>
      <c r="P498" t="s">
        <v>25</v>
      </c>
      <c r="Q498" t="s">
        <v>83</v>
      </c>
      <c r="R498" t="s">
        <v>56</v>
      </c>
      <c r="S498">
        <f>IF(enquiry_analysis_data[[#This Row],[enquiry_status]]="Converted",1,0)</f>
        <v>0</v>
      </c>
      <c r="T498" t="s">
        <v>28</v>
      </c>
    </row>
    <row r="499" spans="1:20" x14ac:dyDescent="0.3">
      <c r="A499">
        <v>405</v>
      </c>
      <c r="B499" s="1">
        <v>46282.038668981484</v>
      </c>
      <c r="C499" s="1" t="str">
        <f>TEXT(enquiry_analysis_data[[#This Row],[enquiry_date]],"mmmm-yyyy")</f>
        <v>September-2026</v>
      </c>
      <c r="D499">
        <f>YEAR(enquiry_analysis_data[[#This Row],[enquiry_date]])</f>
        <v>2026</v>
      </c>
      <c r="E499">
        <f>MONTH(enquiry_analysis_data[[#This Row],[enquiry_date]])</f>
        <v>9</v>
      </c>
      <c r="F499" t="s">
        <v>546</v>
      </c>
      <c r="G499" t="s">
        <v>915</v>
      </c>
      <c r="H499" s="2">
        <v>9000000402</v>
      </c>
      <c r="I499" t="s">
        <v>18</v>
      </c>
      <c r="J499" t="s">
        <v>19</v>
      </c>
      <c r="K499" t="s">
        <v>20</v>
      </c>
      <c r="L499" t="s">
        <v>50</v>
      </c>
      <c r="M499" t="s">
        <v>51</v>
      </c>
      <c r="N499" t="s">
        <v>23</v>
      </c>
      <c r="O499" t="s">
        <v>42</v>
      </c>
      <c r="P499" t="s">
        <v>43</v>
      </c>
      <c r="Q499" t="s">
        <v>37</v>
      </c>
      <c r="R499" t="s">
        <v>68</v>
      </c>
      <c r="S499">
        <f>IF(enquiry_analysis_data[[#This Row],[enquiry_status]]="Converted",1,0)</f>
        <v>1</v>
      </c>
      <c r="T499" t="s">
        <v>28</v>
      </c>
    </row>
    <row r="500" spans="1:20" x14ac:dyDescent="0.3">
      <c r="A500">
        <v>401</v>
      </c>
      <c r="B500" s="1">
        <v>46282.790277777778</v>
      </c>
      <c r="C500" s="1" t="str">
        <f>TEXT(enquiry_analysis_data[[#This Row],[enquiry_date]],"mmmm-yyyy")</f>
        <v>September-2026</v>
      </c>
      <c r="D500">
        <f>YEAR(enquiry_analysis_data[[#This Row],[enquiry_date]])</f>
        <v>2026</v>
      </c>
      <c r="E500">
        <f>MONTH(enquiry_analysis_data[[#This Row],[enquiry_date]])</f>
        <v>9</v>
      </c>
      <c r="F500" t="s">
        <v>621</v>
      </c>
      <c r="G500" t="s">
        <v>916</v>
      </c>
      <c r="H500" s="2">
        <v>9000000398</v>
      </c>
      <c r="I500" t="s">
        <v>18</v>
      </c>
      <c r="J500" t="s">
        <v>19</v>
      </c>
      <c r="K500" t="s">
        <v>67</v>
      </c>
      <c r="L500" t="s">
        <v>111</v>
      </c>
      <c r="M500" t="s">
        <v>112</v>
      </c>
      <c r="N500" t="s">
        <v>113</v>
      </c>
      <c r="O500" t="s">
        <v>24</v>
      </c>
      <c r="P500" t="s">
        <v>36</v>
      </c>
      <c r="Q500" t="s">
        <v>138</v>
      </c>
      <c r="R500" t="s">
        <v>27</v>
      </c>
      <c r="S500">
        <f>IF(enquiry_analysis_data[[#This Row],[enquiry_status]]="Converted",1,0)</f>
        <v>0</v>
      </c>
      <c r="T500" t="s">
        <v>28</v>
      </c>
    </row>
    <row r="501" spans="1:20" x14ac:dyDescent="0.3">
      <c r="A501">
        <v>297</v>
      </c>
      <c r="B501" s="1">
        <v>46285.457361111112</v>
      </c>
      <c r="C501" s="1" t="str">
        <f>TEXT(enquiry_analysis_data[[#This Row],[enquiry_date]],"mmmm-yyyy")</f>
        <v>September-2026</v>
      </c>
      <c r="D501">
        <f>YEAR(enquiry_analysis_data[[#This Row],[enquiry_date]])</f>
        <v>2026</v>
      </c>
      <c r="E501">
        <f>MONTH(enquiry_analysis_data[[#This Row],[enquiry_date]])</f>
        <v>9</v>
      </c>
      <c r="F501" t="s">
        <v>470</v>
      </c>
      <c r="G501" t="s">
        <v>917</v>
      </c>
      <c r="H501" s="2">
        <v>9000000294</v>
      </c>
      <c r="I501" t="s">
        <v>88</v>
      </c>
      <c r="J501" t="s">
        <v>49</v>
      </c>
      <c r="K501" t="s">
        <v>94</v>
      </c>
      <c r="L501" t="s">
        <v>111</v>
      </c>
      <c r="M501" t="s">
        <v>112</v>
      </c>
      <c r="N501" t="s">
        <v>113</v>
      </c>
      <c r="O501" t="s">
        <v>42</v>
      </c>
      <c r="P501" t="s">
        <v>25</v>
      </c>
      <c r="Q501" t="s">
        <v>63</v>
      </c>
      <c r="R501" t="s">
        <v>68</v>
      </c>
      <c r="S501">
        <f>IF(enquiry_analysis_data[[#This Row],[enquiry_status]]="Converted",1,0)</f>
        <v>1</v>
      </c>
      <c r="T501" t="s">
        <v>28</v>
      </c>
    </row>
    <row r="502" spans="1:20" x14ac:dyDescent="0.3">
      <c r="A502">
        <v>1</v>
      </c>
      <c r="B502" s="1">
        <v>46287.654768518521</v>
      </c>
      <c r="C502" s="1" t="str">
        <f>TEXT(enquiry_analysis_data[[#This Row],[enquiry_date]],"mmmm-yyyy")</f>
        <v>September-2026</v>
      </c>
      <c r="D502">
        <f>YEAR(enquiry_analysis_data[[#This Row],[enquiry_date]])</f>
        <v>2026</v>
      </c>
      <c r="E502">
        <f>MONTH(enquiry_analysis_data[[#This Row],[enquiry_date]])</f>
        <v>9</v>
      </c>
      <c r="F502" t="s">
        <v>918</v>
      </c>
      <c r="G502" t="s">
        <v>919</v>
      </c>
      <c r="H502" s="2">
        <v>8397929177</v>
      </c>
      <c r="I502" t="s">
        <v>88</v>
      </c>
      <c r="J502" t="s">
        <v>32</v>
      </c>
      <c r="K502" t="s">
        <v>33</v>
      </c>
      <c r="L502" t="s">
        <v>21</v>
      </c>
      <c r="M502" t="s">
        <v>22</v>
      </c>
      <c r="N502" t="s">
        <v>23</v>
      </c>
      <c r="O502" t="s">
        <v>42</v>
      </c>
      <c r="P502" t="s">
        <v>36</v>
      </c>
      <c r="Q502" t="s">
        <v>63</v>
      </c>
      <c r="R502" t="s">
        <v>68</v>
      </c>
      <c r="S502">
        <f>IF(enquiry_analysis_data[[#This Row],[enquiry_status]]="Converted",1,0)</f>
        <v>1</v>
      </c>
      <c r="T502" t="s">
        <v>920</v>
      </c>
    </row>
    <row r="503" spans="1:20" x14ac:dyDescent="0.3">
      <c r="A503">
        <v>2</v>
      </c>
      <c r="B503" s="1">
        <v>46287.657997685186</v>
      </c>
      <c r="C503" s="1" t="str">
        <f>TEXT(enquiry_analysis_data[[#This Row],[enquiry_date]],"mmmm-yyyy")</f>
        <v>September-2026</v>
      </c>
      <c r="D503">
        <f>YEAR(enquiry_analysis_data[[#This Row],[enquiry_date]])</f>
        <v>2026</v>
      </c>
      <c r="E503">
        <f>MONTH(enquiry_analysis_data[[#This Row],[enquiry_date]])</f>
        <v>9</v>
      </c>
      <c r="F503" t="s">
        <v>921</v>
      </c>
      <c r="G503" t="s">
        <v>922</v>
      </c>
      <c r="H503" s="2">
        <v>9817123077</v>
      </c>
      <c r="I503" t="s">
        <v>923</v>
      </c>
      <c r="J503" t="s">
        <v>19</v>
      </c>
      <c r="K503" t="s">
        <v>20</v>
      </c>
      <c r="L503" t="s">
        <v>78</v>
      </c>
      <c r="M503" t="s">
        <v>79</v>
      </c>
      <c r="N503" t="s">
        <v>80</v>
      </c>
      <c r="O503" t="s">
        <v>24</v>
      </c>
      <c r="P503" t="s">
        <v>52</v>
      </c>
      <c r="Q503" t="s">
        <v>53</v>
      </c>
      <c r="R503" t="s">
        <v>68</v>
      </c>
      <c r="S503">
        <f>IF(enquiry_analysis_data[[#This Row],[enquiry_status]]="Converted",1,0)</f>
        <v>1</v>
      </c>
      <c r="T503" t="s">
        <v>920</v>
      </c>
    </row>
    <row r="504" spans="1:20" x14ac:dyDescent="0.3">
      <c r="A504">
        <v>3</v>
      </c>
      <c r="B504" s="1">
        <v>46288.628136574072</v>
      </c>
      <c r="C504" s="1" t="str">
        <f>TEXT(enquiry_analysis_data[[#This Row],[enquiry_date]],"mmmm-yyyy")</f>
        <v>September-2026</v>
      </c>
      <c r="D504">
        <f>YEAR(enquiry_analysis_data[[#This Row],[enquiry_date]])</f>
        <v>2026</v>
      </c>
      <c r="E504">
        <f>MONTH(enquiry_analysis_data[[#This Row],[enquiry_date]])</f>
        <v>9</v>
      </c>
      <c r="F504" t="s">
        <v>924</v>
      </c>
      <c r="G504" t="s">
        <v>925</v>
      </c>
      <c r="H504" s="2">
        <v>8529637410</v>
      </c>
      <c r="I504" t="s">
        <v>93</v>
      </c>
      <c r="J504" t="s">
        <v>128</v>
      </c>
      <c r="K504" t="s">
        <v>20</v>
      </c>
      <c r="L504" t="s">
        <v>40</v>
      </c>
      <c r="M504" t="s">
        <v>41</v>
      </c>
      <c r="N504" t="s">
        <v>41</v>
      </c>
      <c r="O504" t="s">
        <v>24</v>
      </c>
      <c r="P504" t="s">
        <v>25</v>
      </c>
      <c r="Q504" t="s">
        <v>141</v>
      </c>
      <c r="R504" t="s">
        <v>68</v>
      </c>
      <c r="S504">
        <f>IF(enquiry_analysis_data[[#This Row],[enquiry_status]]="Converted",1,0)</f>
        <v>1</v>
      </c>
      <c r="T504" t="s">
        <v>920</v>
      </c>
    </row>
  </sheetData>
  <dataConsolidate/>
  <conditionalFormatting sqref="A1:A1048576">
    <cfRule type="duplicateValues" dxfId="0"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0FCE9-C289-42F3-9A37-30AE3DCF1EBD}">
  <dimension ref="A1:AE48"/>
  <sheetViews>
    <sheetView topLeftCell="G1" workbookViewId="0">
      <selection activeCell="J8" sqref="J8"/>
    </sheetView>
  </sheetViews>
  <sheetFormatPr defaultRowHeight="14.4" x14ac:dyDescent="0.3"/>
  <cols>
    <col min="1" max="1" width="28.5546875" bestFit="1" customWidth="1"/>
    <col min="2" max="2" width="13.44140625" bestFit="1" customWidth="1"/>
    <col min="5" max="5" width="16" bestFit="1" customWidth="1"/>
    <col min="6" max="6" width="13.44140625" bestFit="1" customWidth="1"/>
    <col min="9" max="9" width="15.44140625" bestFit="1" customWidth="1"/>
    <col min="10" max="10" width="13.44140625" bestFit="1" customWidth="1"/>
    <col min="14" max="15" width="13.44140625" bestFit="1" customWidth="1"/>
    <col min="18" max="18" width="20.6640625" bestFit="1" customWidth="1"/>
    <col min="19" max="19" width="13.44140625" bestFit="1" customWidth="1"/>
    <col min="21" max="21" width="11.33203125" bestFit="1" customWidth="1"/>
    <col min="22" max="22" width="13.44140625" bestFit="1" customWidth="1"/>
    <col min="26" max="26" width="28.5546875" bestFit="1" customWidth="1"/>
    <col min="27" max="27" width="13.44140625" bestFit="1" customWidth="1"/>
    <col min="28" max="28" width="18.109375" bestFit="1" customWidth="1"/>
    <col min="29" max="29" width="21.109375" bestFit="1" customWidth="1"/>
    <col min="30" max="30" width="13.88671875" bestFit="1" customWidth="1"/>
    <col min="31" max="31" width="13.44140625" bestFit="1" customWidth="1"/>
  </cols>
  <sheetData>
    <row r="1" spans="1:31" ht="30" customHeight="1" x14ac:dyDescent="0.3">
      <c r="A1" s="53" t="s">
        <v>972</v>
      </c>
      <c r="B1" s="54"/>
      <c r="C1" s="54"/>
      <c r="D1" s="54"/>
      <c r="E1" s="54"/>
      <c r="F1" s="54"/>
      <c r="G1" s="54"/>
      <c r="H1" s="54"/>
      <c r="I1" s="54"/>
      <c r="J1" s="54"/>
      <c r="K1" s="54"/>
      <c r="L1" s="54"/>
      <c r="M1" s="54"/>
      <c r="N1" s="54"/>
      <c r="O1" s="54"/>
      <c r="P1" s="54"/>
      <c r="Q1" s="54"/>
      <c r="R1" s="54"/>
      <c r="S1" s="54"/>
      <c r="T1" s="54"/>
      <c r="U1" s="54"/>
      <c r="V1" s="54"/>
      <c r="W1" s="54"/>
      <c r="X1" s="54"/>
      <c r="Y1" s="54"/>
      <c r="Z1" s="54"/>
    </row>
    <row r="3" spans="1:31" x14ac:dyDescent="0.3">
      <c r="A3" s="21" t="s">
        <v>941</v>
      </c>
      <c r="B3" s="8" t="s">
        <v>930</v>
      </c>
      <c r="E3" s="21" t="s">
        <v>942</v>
      </c>
      <c r="F3" s="7" t="s">
        <v>930</v>
      </c>
      <c r="I3" s="21" t="s">
        <v>943</v>
      </c>
      <c r="J3" t="s">
        <v>930</v>
      </c>
      <c r="N3" s="21" t="s">
        <v>944</v>
      </c>
      <c r="O3" t="s">
        <v>930</v>
      </c>
      <c r="R3" s="21" t="s">
        <v>927</v>
      </c>
      <c r="S3" t="s">
        <v>930</v>
      </c>
      <c r="U3" s="21" t="s">
        <v>966</v>
      </c>
      <c r="V3" t="s">
        <v>930</v>
      </c>
      <c r="Z3" s="21" t="s">
        <v>941</v>
      </c>
      <c r="AA3" t="s">
        <v>930</v>
      </c>
      <c r="AB3" s="8" t="s">
        <v>931</v>
      </c>
      <c r="AC3" s="8"/>
      <c r="AD3" s="21" t="s">
        <v>967</v>
      </c>
      <c r="AE3" t="s">
        <v>930</v>
      </c>
    </row>
    <row r="4" spans="1:31" x14ac:dyDescent="0.3">
      <c r="A4" s="4" t="s">
        <v>145</v>
      </c>
      <c r="B4" s="7">
        <v>50</v>
      </c>
      <c r="E4" s="4" t="s">
        <v>42</v>
      </c>
      <c r="F4">
        <v>324</v>
      </c>
      <c r="I4" s="4" t="s">
        <v>27</v>
      </c>
      <c r="J4">
        <v>70</v>
      </c>
      <c r="N4" s="4" t="s">
        <v>53</v>
      </c>
      <c r="O4">
        <v>121</v>
      </c>
      <c r="R4" s="4">
        <v>2025</v>
      </c>
      <c r="S4">
        <v>275</v>
      </c>
      <c r="U4" s="4" t="s">
        <v>71</v>
      </c>
      <c r="V4">
        <v>61</v>
      </c>
      <c r="Z4" s="4" t="s">
        <v>107</v>
      </c>
      <c r="AA4">
        <v>25</v>
      </c>
      <c r="AB4" s="7">
        <v>7</v>
      </c>
      <c r="AC4" s="7"/>
      <c r="AD4" s="4" t="s">
        <v>19</v>
      </c>
      <c r="AE4">
        <v>200</v>
      </c>
    </row>
    <row r="5" spans="1:31" x14ac:dyDescent="0.3">
      <c r="A5" s="4" t="s">
        <v>79</v>
      </c>
      <c r="B5" s="7">
        <v>42</v>
      </c>
      <c r="E5" s="4" t="s">
        <v>24</v>
      </c>
      <c r="F5">
        <v>179</v>
      </c>
      <c r="I5" s="4" t="s">
        <v>68</v>
      </c>
      <c r="J5">
        <v>173</v>
      </c>
      <c r="N5" s="4" t="s">
        <v>26</v>
      </c>
      <c r="O5">
        <v>116</v>
      </c>
      <c r="R5" s="22">
        <v>1</v>
      </c>
      <c r="S5">
        <v>20</v>
      </c>
      <c r="U5" s="4" t="s">
        <v>88</v>
      </c>
      <c r="V5">
        <v>60</v>
      </c>
      <c r="Z5" s="4" t="s">
        <v>41</v>
      </c>
      <c r="AA5">
        <v>25</v>
      </c>
      <c r="AB5" s="7">
        <v>9</v>
      </c>
      <c r="AC5" s="7"/>
      <c r="AD5" s="4" t="s">
        <v>49</v>
      </c>
      <c r="AE5">
        <v>110</v>
      </c>
    </row>
    <row r="6" spans="1:31" x14ac:dyDescent="0.3">
      <c r="A6" s="4" t="s">
        <v>155</v>
      </c>
      <c r="B6" s="7">
        <v>40</v>
      </c>
      <c r="D6" s="8"/>
      <c r="E6" s="4" t="s">
        <v>940</v>
      </c>
      <c r="F6">
        <v>503</v>
      </c>
      <c r="I6" s="4" t="s">
        <v>45</v>
      </c>
      <c r="J6">
        <v>80</v>
      </c>
      <c r="N6" s="4" t="s">
        <v>141</v>
      </c>
      <c r="O6">
        <v>73</v>
      </c>
      <c r="R6" s="23" t="s">
        <v>952</v>
      </c>
      <c r="S6">
        <v>20</v>
      </c>
      <c r="U6" s="4" t="s">
        <v>18</v>
      </c>
      <c r="V6">
        <v>54</v>
      </c>
      <c r="Z6" s="4" t="s">
        <v>100</v>
      </c>
      <c r="AA6">
        <v>33</v>
      </c>
      <c r="AB6" s="7">
        <v>10</v>
      </c>
      <c r="AC6" s="7"/>
      <c r="AD6" s="4" t="s">
        <v>128</v>
      </c>
      <c r="AE6">
        <v>91</v>
      </c>
    </row>
    <row r="7" spans="1:31" x14ac:dyDescent="0.3">
      <c r="A7" s="4" t="s">
        <v>22</v>
      </c>
      <c r="B7" s="7">
        <v>39</v>
      </c>
      <c r="D7" s="4"/>
      <c r="E7" s="7"/>
      <c r="F7" s="7"/>
      <c r="I7" s="4" t="s">
        <v>56</v>
      </c>
      <c r="J7">
        <v>90</v>
      </c>
      <c r="N7" s="4" t="s">
        <v>63</v>
      </c>
      <c r="O7">
        <v>56</v>
      </c>
      <c r="R7" s="22">
        <v>2</v>
      </c>
      <c r="S7">
        <v>17</v>
      </c>
      <c r="U7" s="4" t="s">
        <v>77</v>
      </c>
      <c r="V7">
        <v>54</v>
      </c>
      <c r="Z7" s="4" t="s">
        <v>145</v>
      </c>
      <c r="AA7">
        <v>50</v>
      </c>
      <c r="AB7" s="7">
        <v>19</v>
      </c>
      <c r="AC7" s="7"/>
      <c r="AD7" s="4" t="s">
        <v>32</v>
      </c>
      <c r="AE7">
        <v>71</v>
      </c>
    </row>
    <row r="8" spans="1:31" x14ac:dyDescent="0.3">
      <c r="A8" s="4" t="s">
        <v>137</v>
      </c>
      <c r="B8" s="7">
        <v>39</v>
      </c>
      <c r="D8" s="4"/>
      <c r="E8" s="7"/>
      <c r="F8" s="7"/>
      <c r="I8" s="4" t="s">
        <v>194</v>
      </c>
      <c r="J8">
        <v>30</v>
      </c>
      <c r="N8" s="4" t="s">
        <v>83</v>
      </c>
      <c r="O8">
        <v>45</v>
      </c>
      <c r="R8" s="23" t="s">
        <v>950</v>
      </c>
      <c r="S8">
        <v>17</v>
      </c>
      <c r="U8" s="4" t="s">
        <v>93</v>
      </c>
      <c r="V8">
        <v>52</v>
      </c>
      <c r="Z8" s="4" t="s">
        <v>22</v>
      </c>
      <c r="AA8">
        <v>39</v>
      </c>
      <c r="AB8" s="7">
        <v>14</v>
      </c>
      <c r="AC8" s="7"/>
      <c r="AD8" s="4" t="s">
        <v>104</v>
      </c>
      <c r="AE8">
        <v>24</v>
      </c>
    </row>
    <row r="9" spans="1:31" x14ac:dyDescent="0.3">
      <c r="A9" s="4" t="s">
        <v>112</v>
      </c>
      <c r="B9" s="7">
        <v>36</v>
      </c>
      <c r="D9" s="4"/>
      <c r="E9" s="7"/>
      <c r="F9" s="7"/>
      <c r="I9" s="4" t="s">
        <v>114</v>
      </c>
      <c r="J9">
        <v>60</v>
      </c>
      <c r="N9" s="4" t="s">
        <v>138</v>
      </c>
      <c r="O9">
        <v>40</v>
      </c>
      <c r="R9" s="22">
        <v>3</v>
      </c>
      <c r="S9">
        <v>26</v>
      </c>
      <c r="U9" s="4" t="s">
        <v>123</v>
      </c>
      <c r="V9">
        <v>49</v>
      </c>
      <c r="Z9" s="4" t="s">
        <v>51</v>
      </c>
      <c r="AA9">
        <v>26</v>
      </c>
      <c r="AB9" s="7">
        <v>11</v>
      </c>
      <c r="AC9" s="7"/>
      <c r="AD9" s="4" t="s">
        <v>37</v>
      </c>
      <c r="AE9">
        <v>7</v>
      </c>
    </row>
    <row r="10" spans="1:31" x14ac:dyDescent="0.3">
      <c r="A10" s="4" t="s">
        <v>73</v>
      </c>
      <c r="B10" s="7">
        <v>33</v>
      </c>
      <c r="D10" s="4"/>
      <c r="E10" s="7"/>
      <c r="F10" s="7"/>
      <c r="I10" s="4" t="s">
        <v>940</v>
      </c>
      <c r="J10">
        <v>503</v>
      </c>
      <c r="N10" s="4" t="s">
        <v>44</v>
      </c>
      <c r="O10">
        <v>28</v>
      </c>
      <c r="R10" s="23" t="s">
        <v>958</v>
      </c>
      <c r="S10">
        <v>26</v>
      </c>
      <c r="U10" s="4" t="s">
        <v>31</v>
      </c>
      <c r="V10">
        <v>46</v>
      </c>
      <c r="Z10" s="4" t="s">
        <v>118</v>
      </c>
      <c r="AA10">
        <v>31</v>
      </c>
      <c r="AB10" s="7">
        <v>7</v>
      </c>
      <c r="AC10" s="7"/>
      <c r="AD10" s="4" t="s">
        <v>940</v>
      </c>
      <c r="AE10">
        <v>503</v>
      </c>
    </row>
    <row r="11" spans="1:31" x14ac:dyDescent="0.3">
      <c r="A11" s="4" t="s">
        <v>100</v>
      </c>
      <c r="B11" s="7">
        <v>33</v>
      </c>
      <c r="D11" s="4"/>
      <c r="E11" s="7"/>
      <c r="F11" s="7"/>
      <c r="I11" s="4"/>
      <c r="J11" s="7"/>
      <c r="N11" s="4" t="s">
        <v>37</v>
      </c>
      <c r="O11">
        <v>24</v>
      </c>
      <c r="R11" s="22">
        <v>4</v>
      </c>
      <c r="S11">
        <v>22</v>
      </c>
      <c r="U11" s="4" t="s">
        <v>48</v>
      </c>
      <c r="V11">
        <v>46</v>
      </c>
      <c r="Z11" s="4" t="s">
        <v>35</v>
      </c>
      <c r="AA11">
        <v>25</v>
      </c>
      <c r="AB11" s="7">
        <v>9</v>
      </c>
      <c r="AC11" s="7"/>
      <c r="AD11" s="4"/>
      <c r="AE11" s="7"/>
    </row>
    <row r="12" spans="1:31" x14ac:dyDescent="0.3">
      <c r="A12" s="4" t="s">
        <v>61</v>
      </c>
      <c r="B12" s="7">
        <v>31</v>
      </c>
      <c r="D12" s="4"/>
      <c r="E12" s="7"/>
      <c r="F12" s="7"/>
      <c r="I12" s="4"/>
      <c r="J12" s="7"/>
      <c r="N12" s="4" t="s">
        <v>940</v>
      </c>
      <c r="O12">
        <v>503</v>
      </c>
      <c r="R12" s="23" t="s">
        <v>945</v>
      </c>
      <c r="S12">
        <v>22</v>
      </c>
      <c r="U12" s="4" t="s">
        <v>59</v>
      </c>
      <c r="V12">
        <v>43</v>
      </c>
      <c r="Z12" s="4" t="s">
        <v>61</v>
      </c>
      <c r="AA12">
        <v>31</v>
      </c>
      <c r="AB12" s="7">
        <v>8</v>
      </c>
      <c r="AC12" s="7"/>
      <c r="AD12" s="4"/>
      <c r="AE12" s="7"/>
    </row>
    <row r="13" spans="1:31" x14ac:dyDescent="0.3">
      <c r="A13" s="4" t="s">
        <v>118</v>
      </c>
      <c r="B13" s="7">
        <v>31</v>
      </c>
      <c r="D13" s="4"/>
      <c r="E13" s="7"/>
      <c r="F13" s="7"/>
      <c r="I13" s="4"/>
      <c r="J13" s="7"/>
      <c r="N13" s="4"/>
      <c r="O13" s="7"/>
      <c r="R13" s="22">
        <v>5</v>
      </c>
      <c r="S13">
        <v>29</v>
      </c>
      <c r="U13" s="4" t="s">
        <v>66</v>
      </c>
      <c r="V13">
        <v>37</v>
      </c>
      <c r="Z13" s="4" t="s">
        <v>246</v>
      </c>
      <c r="AA13">
        <v>28</v>
      </c>
      <c r="AB13" s="7">
        <v>10</v>
      </c>
      <c r="AC13" s="7"/>
      <c r="AD13" s="4"/>
      <c r="AE13" s="7"/>
    </row>
    <row r="14" spans="1:31" x14ac:dyDescent="0.3">
      <c r="A14" s="4" t="s">
        <v>246</v>
      </c>
      <c r="B14" s="7">
        <v>28</v>
      </c>
      <c r="D14" s="4"/>
      <c r="E14" s="7"/>
      <c r="F14" s="7"/>
      <c r="I14" s="4"/>
      <c r="J14" s="7"/>
      <c r="N14" s="4"/>
      <c r="O14" s="7"/>
      <c r="R14" s="23" t="s">
        <v>960</v>
      </c>
      <c r="S14">
        <v>29</v>
      </c>
      <c r="U14" s="4" t="s">
        <v>923</v>
      </c>
      <c r="V14">
        <v>1</v>
      </c>
      <c r="Z14" s="4" t="s">
        <v>79</v>
      </c>
      <c r="AA14">
        <v>42</v>
      </c>
      <c r="AB14" s="7">
        <v>15</v>
      </c>
      <c r="AC14" s="7"/>
      <c r="AD14" s="4"/>
      <c r="AE14" s="7"/>
    </row>
    <row r="15" spans="1:31" x14ac:dyDescent="0.3">
      <c r="A15" s="4" t="s">
        <v>51</v>
      </c>
      <c r="B15" s="7">
        <v>26</v>
      </c>
      <c r="D15" s="4"/>
      <c r="E15" s="7"/>
      <c r="F15" s="7"/>
      <c r="I15" s="4"/>
      <c r="J15" s="7"/>
      <c r="N15" s="4"/>
      <c r="O15" s="7"/>
      <c r="R15" s="22">
        <v>6</v>
      </c>
      <c r="S15">
        <v>25</v>
      </c>
      <c r="U15" s="4" t="s">
        <v>940</v>
      </c>
      <c r="V15">
        <v>503</v>
      </c>
      <c r="Z15" s="4" t="s">
        <v>73</v>
      </c>
      <c r="AA15">
        <v>33</v>
      </c>
      <c r="AB15" s="7">
        <v>5</v>
      </c>
      <c r="AC15" s="7"/>
      <c r="AD15" s="4"/>
      <c r="AE15" s="7"/>
    </row>
    <row r="16" spans="1:31" x14ac:dyDescent="0.3">
      <c r="A16" s="4" t="s">
        <v>41</v>
      </c>
      <c r="B16" s="7">
        <v>25</v>
      </c>
      <c r="D16" s="4"/>
      <c r="E16" s="7"/>
      <c r="F16" s="7"/>
      <c r="I16" s="4"/>
      <c r="J16" s="7"/>
      <c r="N16" s="4"/>
      <c r="O16" s="7"/>
      <c r="R16" s="23" t="s">
        <v>956</v>
      </c>
      <c r="S16">
        <v>25</v>
      </c>
      <c r="U16" s="4"/>
      <c r="V16" s="7"/>
      <c r="Z16" s="4" t="s">
        <v>112</v>
      </c>
      <c r="AA16">
        <v>36</v>
      </c>
      <c r="AB16" s="7">
        <v>17</v>
      </c>
      <c r="AC16" s="7"/>
      <c r="AD16" s="4"/>
      <c r="AE16" s="7"/>
    </row>
    <row r="17" spans="1:31" x14ac:dyDescent="0.3">
      <c r="A17" s="4" t="s">
        <v>107</v>
      </c>
      <c r="B17" s="7">
        <v>25</v>
      </c>
      <c r="D17" s="4"/>
      <c r="E17" s="7"/>
      <c r="F17" s="7"/>
      <c r="I17" s="4"/>
      <c r="J17" s="7"/>
      <c r="N17" s="4"/>
      <c r="O17" s="7"/>
      <c r="R17" s="22">
        <v>7</v>
      </c>
      <c r="S17">
        <v>24</v>
      </c>
      <c r="U17" s="4"/>
      <c r="V17" s="7"/>
      <c r="Z17" s="4" t="s">
        <v>155</v>
      </c>
      <c r="AA17">
        <v>40</v>
      </c>
      <c r="AB17" s="7">
        <v>15</v>
      </c>
      <c r="AC17" s="7"/>
      <c r="AD17" s="4"/>
      <c r="AE17" s="7"/>
    </row>
    <row r="18" spans="1:31" x14ac:dyDescent="0.3">
      <c r="A18" s="4" t="s">
        <v>35</v>
      </c>
      <c r="B18" s="7">
        <v>25</v>
      </c>
      <c r="D18" s="4"/>
      <c r="E18" s="7"/>
      <c r="F18" s="7"/>
      <c r="I18" s="4"/>
      <c r="J18" s="7"/>
      <c r="N18" s="4"/>
      <c r="O18" s="7"/>
      <c r="R18" s="23" t="s">
        <v>954</v>
      </c>
      <c r="S18">
        <v>24</v>
      </c>
      <c r="U18" s="4"/>
      <c r="V18" s="7"/>
      <c r="Z18" s="4" t="s">
        <v>137</v>
      </c>
      <c r="AA18">
        <v>39</v>
      </c>
      <c r="AB18" s="7">
        <v>17</v>
      </c>
      <c r="AC18" s="7"/>
      <c r="AD18" s="4"/>
      <c r="AE18" s="7"/>
    </row>
    <row r="19" spans="1:31" x14ac:dyDescent="0.3">
      <c r="A19" s="4" t="s">
        <v>940</v>
      </c>
      <c r="B19" s="7">
        <v>503</v>
      </c>
      <c r="D19" s="4"/>
      <c r="E19" s="7"/>
      <c r="F19" s="7"/>
      <c r="I19" s="4"/>
      <c r="J19" s="7"/>
      <c r="N19" s="4"/>
      <c r="O19" s="7"/>
      <c r="R19" s="22">
        <v>8</v>
      </c>
      <c r="S19">
        <v>19</v>
      </c>
      <c r="U19" s="4"/>
      <c r="V19" s="7"/>
      <c r="Z19" s="4" t="s">
        <v>940</v>
      </c>
      <c r="AA19">
        <v>503</v>
      </c>
      <c r="AB19" s="7">
        <v>173</v>
      </c>
      <c r="AC19" s="7"/>
      <c r="AD19" s="4"/>
      <c r="AE19" s="7"/>
    </row>
    <row r="20" spans="1:31" x14ac:dyDescent="0.3">
      <c r="D20" s="4"/>
      <c r="E20" s="25" t="s">
        <v>970</v>
      </c>
      <c r="F20" s="7" t="s">
        <v>930</v>
      </c>
      <c r="R20" s="23" t="s">
        <v>947</v>
      </c>
      <c r="S20">
        <v>19</v>
      </c>
    </row>
    <row r="21" spans="1:31" x14ac:dyDescent="0.3">
      <c r="D21" s="4"/>
      <c r="E21" s="4" t="s">
        <v>74</v>
      </c>
      <c r="F21">
        <v>33</v>
      </c>
      <c r="R21" s="22">
        <v>9</v>
      </c>
      <c r="S21">
        <v>23</v>
      </c>
    </row>
    <row r="22" spans="1:31" x14ac:dyDescent="0.3">
      <c r="D22" s="4"/>
      <c r="E22" s="4" t="s">
        <v>41</v>
      </c>
      <c r="F22">
        <v>25</v>
      </c>
      <c r="R22" s="23" t="s">
        <v>964</v>
      </c>
      <c r="S22">
        <v>23</v>
      </c>
      <c r="Z22" s="21" t="s">
        <v>968</v>
      </c>
      <c r="AA22" t="s">
        <v>930</v>
      </c>
    </row>
    <row r="23" spans="1:31" x14ac:dyDescent="0.3">
      <c r="E23" s="4" t="s">
        <v>119</v>
      </c>
      <c r="F23">
        <v>31</v>
      </c>
      <c r="R23" s="22">
        <v>10</v>
      </c>
      <c r="S23">
        <v>30</v>
      </c>
      <c r="Z23" s="4" t="s">
        <v>33</v>
      </c>
      <c r="AA23">
        <v>164</v>
      </c>
    </row>
    <row r="24" spans="1:31" x14ac:dyDescent="0.3">
      <c r="E24" s="4" t="s">
        <v>101</v>
      </c>
      <c r="F24">
        <v>83</v>
      </c>
      <c r="R24" s="23" t="s">
        <v>963</v>
      </c>
      <c r="S24">
        <v>30</v>
      </c>
      <c r="Z24" s="4" t="s">
        <v>20</v>
      </c>
      <c r="AA24">
        <v>154</v>
      </c>
      <c r="AD24" s="21" t="s">
        <v>969</v>
      </c>
      <c r="AE24" s="7" t="s">
        <v>930</v>
      </c>
    </row>
    <row r="25" spans="1:31" x14ac:dyDescent="0.3">
      <c r="E25" s="4" t="s">
        <v>156</v>
      </c>
      <c r="F25">
        <v>68</v>
      </c>
      <c r="R25" s="22">
        <v>11</v>
      </c>
      <c r="S25">
        <v>15</v>
      </c>
      <c r="Z25" s="4" t="s">
        <v>67</v>
      </c>
      <c r="AA25">
        <v>94</v>
      </c>
      <c r="AD25" s="4" t="s">
        <v>36</v>
      </c>
      <c r="AE25">
        <v>112</v>
      </c>
    </row>
    <row r="26" spans="1:31" x14ac:dyDescent="0.3">
      <c r="E26" s="4" t="s">
        <v>23</v>
      </c>
      <c r="F26">
        <v>65</v>
      </c>
      <c r="R26" s="23" t="s">
        <v>962</v>
      </c>
      <c r="S26">
        <v>15</v>
      </c>
      <c r="Z26" s="4" t="s">
        <v>94</v>
      </c>
      <c r="AA26">
        <v>53</v>
      </c>
      <c r="AD26" s="4" t="s">
        <v>25</v>
      </c>
      <c r="AE26">
        <v>128</v>
      </c>
    </row>
    <row r="27" spans="1:31" x14ac:dyDescent="0.3">
      <c r="E27" s="4" t="s">
        <v>35</v>
      </c>
      <c r="F27">
        <v>25</v>
      </c>
      <c r="R27" s="22">
        <v>12</v>
      </c>
      <c r="S27">
        <v>25</v>
      </c>
      <c r="Z27" s="4" t="s">
        <v>105</v>
      </c>
      <c r="AA27">
        <v>38</v>
      </c>
      <c r="AD27" s="4" t="s">
        <v>52</v>
      </c>
      <c r="AE27">
        <v>136</v>
      </c>
    </row>
    <row r="28" spans="1:31" x14ac:dyDescent="0.3">
      <c r="E28" s="4" t="s">
        <v>113</v>
      </c>
      <c r="F28">
        <v>36</v>
      </c>
      <c r="R28" s="23" t="s">
        <v>949</v>
      </c>
      <c r="S28">
        <v>25</v>
      </c>
      <c r="Z28" s="4" t="s">
        <v>940</v>
      </c>
      <c r="AA28">
        <v>503</v>
      </c>
      <c r="AD28" s="4" t="s">
        <v>43</v>
      </c>
      <c r="AE28">
        <v>127</v>
      </c>
    </row>
    <row r="29" spans="1:31" x14ac:dyDescent="0.3">
      <c r="E29" s="4" t="s">
        <v>108</v>
      </c>
      <c r="F29">
        <v>25</v>
      </c>
      <c r="R29" s="4">
        <v>2026</v>
      </c>
      <c r="S29">
        <v>228</v>
      </c>
      <c r="Z29" s="4"/>
      <c r="AA29" s="7"/>
      <c r="AD29" s="4" t="s">
        <v>940</v>
      </c>
      <c r="AE29">
        <v>503</v>
      </c>
    </row>
    <row r="30" spans="1:31" x14ac:dyDescent="0.3">
      <c r="E30" s="4" t="s">
        <v>80</v>
      </c>
      <c r="F30">
        <v>42</v>
      </c>
      <c r="R30" s="22">
        <v>1</v>
      </c>
      <c r="S30">
        <v>25</v>
      </c>
      <c r="Z30" s="4"/>
      <c r="AA30" s="7"/>
      <c r="AD30" s="4"/>
      <c r="AE30" s="7"/>
    </row>
    <row r="31" spans="1:31" x14ac:dyDescent="0.3">
      <c r="E31" s="4" t="s">
        <v>62</v>
      </c>
      <c r="F31">
        <v>70</v>
      </c>
      <c r="R31" s="23" t="s">
        <v>953</v>
      </c>
      <c r="S31">
        <v>25</v>
      </c>
      <c r="Z31" s="4"/>
      <c r="AA31" s="7"/>
      <c r="AD31" s="4"/>
      <c r="AE31" s="7"/>
    </row>
    <row r="32" spans="1:31" x14ac:dyDescent="0.3">
      <c r="E32" s="4" t="s">
        <v>940</v>
      </c>
      <c r="F32">
        <v>503</v>
      </c>
      <c r="R32" s="22">
        <v>2</v>
      </c>
      <c r="S32">
        <v>27</v>
      </c>
      <c r="Z32" s="4"/>
      <c r="AA32" s="7"/>
      <c r="AD32" s="4"/>
      <c r="AE32" s="7"/>
    </row>
    <row r="33" spans="5:31" x14ac:dyDescent="0.3">
      <c r="E33" s="4"/>
      <c r="F33" s="7"/>
      <c r="R33" s="23" t="s">
        <v>951</v>
      </c>
      <c r="S33">
        <v>27</v>
      </c>
      <c r="Z33" s="4"/>
      <c r="AA33" s="7"/>
      <c r="AD33" s="4"/>
      <c r="AE33" s="7"/>
    </row>
    <row r="34" spans="5:31" x14ac:dyDescent="0.3">
      <c r="E34" s="4"/>
      <c r="F34" s="7"/>
      <c r="R34" s="22">
        <v>3</v>
      </c>
      <c r="S34">
        <v>22</v>
      </c>
      <c r="Z34" s="4"/>
      <c r="AA34" s="7"/>
      <c r="AD34" s="4"/>
      <c r="AE34" s="7"/>
    </row>
    <row r="35" spans="5:31" x14ac:dyDescent="0.3">
      <c r="E35" s="4"/>
      <c r="F35" s="7"/>
      <c r="R35" s="23" t="s">
        <v>959</v>
      </c>
      <c r="S35">
        <v>22</v>
      </c>
      <c r="Z35" s="4"/>
      <c r="AA35" s="7"/>
      <c r="AD35" s="4"/>
      <c r="AE35" s="7"/>
    </row>
    <row r="36" spans="5:31" x14ac:dyDescent="0.3">
      <c r="E36" s="4"/>
      <c r="F36" s="7"/>
      <c r="R36" s="22">
        <v>4</v>
      </c>
      <c r="S36">
        <v>22</v>
      </c>
      <c r="Z36" s="4"/>
      <c r="AA36" s="7"/>
      <c r="AD36" s="4"/>
      <c r="AE36" s="7"/>
    </row>
    <row r="37" spans="5:31" x14ac:dyDescent="0.3">
      <c r="R37" s="23" t="s">
        <v>946</v>
      </c>
      <c r="S37">
        <v>22</v>
      </c>
      <c r="Z37" s="4"/>
      <c r="AA37" s="7"/>
      <c r="AD37" s="4"/>
      <c r="AE37" s="7"/>
    </row>
    <row r="38" spans="5:31" x14ac:dyDescent="0.3">
      <c r="R38" s="22">
        <v>5</v>
      </c>
      <c r="S38">
        <v>31</v>
      </c>
      <c r="Z38" s="4"/>
      <c r="AA38" s="7"/>
      <c r="AD38" s="4"/>
      <c r="AE38" s="7"/>
    </row>
    <row r="39" spans="5:31" x14ac:dyDescent="0.3">
      <c r="R39" s="7" t="s">
        <v>961</v>
      </c>
      <c r="S39" s="26">
        <v>31</v>
      </c>
      <c r="AD39" s="4"/>
      <c r="AE39" s="7"/>
    </row>
    <row r="40" spans="5:31" x14ac:dyDescent="0.3">
      <c r="R40" s="22">
        <v>6</v>
      </c>
      <c r="S40">
        <v>27</v>
      </c>
      <c r="AD40" s="4"/>
      <c r="AE40" s="7"/>
    </row>
    <row r="41" spans="5:31" x14ac:dyDescent="0.3">
      <c r="R41" s="23" t="s">
        <v>957</v>
      </c>
      <c r="S41">
        <v>27</v>
      </c>
    </row>
    <row r="42" spans="5:31" x14ac:dyDescent="0.3">
      <c r="R42" s="22">
        <v>7</v>
      </c>
      <c r="S42">
        <v>23</v>
      </c>
    </row>
    <row r="43" spans="5:31" x14ac:dyDescent="0.3">
      <c r="R43" s="23" t="s">
        <v>955</v>
      </c>
      <c r="S43">
        <v>23</v>
      </c>
    </row>
    <row r="44" spans="5:31" x14ac:dyDescent="0.3">
      <c r="R44" s="22">
        <v>8</v>
      </c>
      <c r="S44">
        <v>31</v>
      </c>
    </row>
    <row r="45" spans="5:31" x14ac:dyDescent="0.3">
      <c r="R45" s="23" t="s">
        <v>948</v>
      </c>
      <c r="S45">
        <v>31</v>
      </c>
    </row>
    <row r="46" spans="5:31" x14ac:dyDescent="0.3">
      <c r="R46" s="22">
        <v>9</v>
      </c>
      <c r="S46">
        <v>20</v>
      </c>
    </row>
    <row r="47" spans="5:31" x14ac:dyDescent="0.3">
      <c r="R47" s="23" t="s">
        <v>965</v>
      </c>
      <c r="S47">
        <v>20</v>
      </c>
    </row>
    <row r="48" spans="5:31" x14ac:dyDescent="0.3">
      <c r="R48" s="4" t="s">
        <v>940</v>
      </c>
      <c r="S48">
        <v>503</v>
      </c>
    </row>
  </sheetData>
  <mergeCells count="1">
    <mergeCell ref="A1:Z1"/>
  </mergeCells>
  <pageMargins left="0.7" right="0.7" top="0.75" bottom="0.75" header="0.3" footer="0.3"/>
  <pageSetup orientation="portrait" r:id="rId12"/>
  <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A00A4-78CE-495A-8753-0346475C4A2E}">
  <dimension ref="A2:D18"/>
  <sheetViews>
    <sheetView workbookViewId="0">
      <selection activeCell="E22" sqref="E22"/>
    </sheetView>
  </sheetViews>
  <sheetFormatPr defaultRowHeight="14.4" x14ac:dyDescent="0.3"/>
  <cols>
    <col min="1" max="1" width="28.5546875" bestFit="1" customWidth="1"/>
    <col min="2" max="2" width="15.21875" customWidth="1"/>
    <col min="3" max="3" width="19.77734375" customWidth="1"/>
    <col min="4" max="4" width="16.5546875" customWidth="1"/>
  </cols>
  <sheetData>
    <row r="2" spans="1:4" x14ac:dyDescent="0.3">
      <c r="A2" t="s">
        <v>941</v>
      </c>
      <c r="B2" t="s">
        <v>930</v>
      </c>
      <c r="C2" t="s">
        <v>931</v>
      </c>
      <c r="D2" s="3" t="s">
        <v>932</v>
      </c>
    </row>
    <row r="3" spans="1:4" x14ac:dyDescent="0.3">
      <c r="A3" t="s">
        <v>107</v>
      </c>
      <c r="B3">
        <v>25</v>
      </c>
      <c r="C3">
        <v>7</v>
      </c>
      <c r="D3" s="3">
        <v>0.28000000000000003</v>
      </c>
    </row>
    <row r="4" spans="1:4" x14ac:dyDescent="0.3">
      <c r="A4" t="s">
        <v>41</v>
      </c>
      <c r="B4">
        <v>25</v>
      </c>
      <c r="C4">
        <v>9</v>
      </c>
      <c r="D4" s="3">
        <v>0.36</v>
      </c>
    </row>
    <row r="5" spans="1:4" x14ac:dyDescent="0.3">
      <c r="A5" t="s">
        <v>100</v>
      </c>
      <c r="B5">
        <v>33</v>
      </c>
      <c r="C5">
        <v>10</v>
      </c>
      <c r="D5" s="3">
        <v>0.30303030303030304</v>
      </c>
    </row>
    <row r="6" spans="1:4" x14ac:dyDescent="0.3">
      <c r="A6" t="s">
        <v>145</v>
      </c>
      <c r="B6">
        <v>50</v>
      </c>
      <c r="C6">
        <v>19</v>
      </c>
      <c r="D6" s="3">
        <v>0.38</v>
      </c>
    </row>
    <row r="7" spans="1:4" x14ac:dyDescent="0.3">
      <c r="A7" t="s">
        <v>22</v>
      </c>
      <c r="B7">
        <v>39</v>
      </c>
      <c r="C7">
        <v>14</v>
      </c>
      <c r="D7" s="3">
        <v>0.35897435897435898</v>
      </c>
    </row>
    <row r="8" spans="1:4" x14ac:dyDescent="0.3">
      <c r="A8" t="s">
        <v>51</v>
      </c>
      <c r="B8">
        <v>26</v>
      </c>
      <c r="C8">
        <v>11</v>
      </c>
      <c r="D8" s="3">
        <v>0.42307692307692307</v>
      </c>
    </row>
    <row r="9" spans="1:4" x14ac:dyDescent="0.3">
      <c r="A9" t="s">
        <v>118</v>
      </c>
      <c r="B9">
        <v>31</v>
      </c>
      <c r="C9">
        <v>7</v>
      </c>
      <c r="D9" s="3">
        <v>0.22580645161290322</v>
      </c>
    </row>
    <row r="10" spans="1:4" x14ac:dyDescent="0.3">
      <c r="A10" t="s">
        <v>35</v>
      </c>
      <c r="B10">
        <v>25</v>
      </c>
      <c r="C10">
        <v>9</v>
      </c>
      <c r="D10" s="3">
        <v>0.36</v>
      </c>
    </row>
    <row r="11" spans="1:4" x14ac:dyDescent="0.3">
      <c r="A11" t="s">
        <v>61</v>
      </c>
      <c r="B11">
        <v>31</v>
      </c>
      <c r="C11">
        <v>8</v>
      </c>
      <c r="D11" s="3">
        <v>0.25806451612903225</v>
      </c>
    </row>
    <row r="12" spans="1:4" x14ac:dyDescent="0.3">
      <c r="A12" t="s">
        <v>246</v>
      </c>
      <c r="B12">
        <v>28</v>
      </c>
      <c r="C12">
        <v>10</v>
      </c>
      <c r="D12" s="3">
        <v>0.35714285714285715</v>
      </c>
    </row>
    <row r="13" spans="1:4" x14ac:dyDescent="0.3">
      <c r="A13" t="s">
        <v>79</v>
      </c>
      <c r="B13">
        <v>42</v>
      </c>
      <c r="C13">
        <v>15</v>
      </c>
      <c r="D13" s="3">
        <v>0.35714285714285715</v>
      </c>
    </row>
    <row r="14" spans="1:4" x14ac:dyDescent="0.3">
      <c r="A14" t="s">
        <v>73</v>
      </c>
      <c r="B14">
        <v>33</v>
      </c>
      <c r="C14">
        <v>5</v>
      </c>
      <c r="D14" s="3">
        <v>0.15151515151515152</v>
      </c>
    </row>
    <row r="15" spans="1:4" x14ac:dyDescent="0.3">
      <c r="A15" t="s">
        <v>112</v>
      </c>
      <c r="B15">
        <v>36</v>
      </c>
      <c r="C15">
        <v>17</v>
      </c>
      <c r="D15" s="3">
        <v>0.47222222222222221</v>
      </c>
    </row>
    <row r="16" spans="1:4" x14ac:dyDescent="0.3">
      <c r="A16" t="s">
        <v>155</v>
      </c>
      <c r="B16">
        <v>40</v>
      </c>
      <c r="C16">
        <v>15</v>
      </c>
      <c r="D16" s="3">
        <v>0.375</v>
      </c>
    </row>
    <row r="17" spans="1:4" x14ac:dyDescent="0.3">
      <c r="A17" t="s">
        <v>137</v>
      </c>
      <c r="B17">
        <v>39</v>
      </c>
      <c r="C17">
        <v>17</v>
      </c>
      <c r="D17" s="3">
        <v>0.4358974358974359</v>
      </c>
    </row>
    <row r="18" spans="1:4" x14ac:dyDescent="0.3">
      <c r="A18" s="5" t="s">
        <v>940</v>
      </c>
      <c r="B18" s="5">
        <v>503</v>
      </c>
      <c r="C18" s="5">
        <v>173</v>
      </c>
      <c r="D18" s="6">
        <v>0.34393638170974156</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924811-691B-44E6-B1CB-CB880B2F6B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Enquiry_Dashboard</vt:lpstr>
      <vt:lpstr>Enquiry_Analysis</vt:lpstr>
      <vt:lpstr>Enquiry_Data</vt:lpstr>
      <vt:lpstr>Pivot_Analysis</vt:lpstr>
      <vt:lpstr>Conversion_Analysis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PANCHAL</dc:creator>
  <cp:lastModifiedBy>SAKSHI PANCHAL</cp:lastModifiedBy>
  <cp:lastPrinted>2026-10-05T07:56:48Z</cp:lastPrinted>
  <dcterms:created xsi:type="dcterms:W3CDTF">2026-09-24T07:32:29Z</dcterms:created>
  <dcterms:modified xsi:type="dcterms:W3CDTF">2026-10-05T08:06:22Z</dcterms:modified>
</cp:coreProperties>
</file>